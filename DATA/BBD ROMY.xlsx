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LCULS_INTERNES" sheetId="1" r:id="rId4"/>
    <sheet state="visible" name="REFERENTIEL SELLSY" sheetId="2" r:id="rId5"/>
  </sheets>
  <definedNames/>
  <calcPr/>
  <extLst>
    <ext uri="GoogleSheetsCustomDataVersion2">
      <go:sheetsCustomData xmlns:go="http://customooxmlschemas.google.com/" r:id="rId6" roundtripDataChecksum="BTU9PxusLbecEahgCBsr1TtRp5bG3k5HE9+yFse3XcE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T2">
      <text>
        <t xml:space="preserve">======
ID#AAABpsDz3bk
Raphaël Hassenforder    (2025-08-22 09:54:37)
pour les chevalets seuls certains formats et modèles sont éligibles. 
0 - Pas de chevalet possible
1 - Chevalet possible mais pas systématique</t>
      </text>
    </comment>
    <comment authorId="0" ref="R2">
      <text>
        <t xml:space="preserve">======
ID#AAABpsDz3bQ
Raphaël Hassenforder    (2025-08-22 08:41:56)
0 - PAS DE VITRE (exemple caisse américaine)
1 - VERRE
2 - PLEXI
------
ID#AAABpthGKAU
Etienne Faucher    (2025-08-22 13:08:52)
ROMY, contient une vitre :
0 - VERRE
1 - PLEXI</t>
      </text>
    </comment>
    <comment authorId="0" ref="AG2">
      <text>
        <t xml:space="preserve">======
ID#AAABpazMiio
Raphaël Hassenforder    (2025-08-18 19:02:22)
ne pas se baser sur cette colonne qui n'est pas sure.</t>
      </text>
    </comment>
    <comment authorId="0" ref="H3">
      <text>
        <t xml:space="preserve">======
ID#AAABpazMiig
Raphaël Hassenforder    (2025-08-18 18:35:09)
ATTENTION !! 
Tarif 2024 donc ajouter la formule de l'augmentation si import à faire =1 
Tarif 2025 si import à faire = 0
------
ID#AAABpazMiik
Raphaël Hassenforder    (2025-08-18 18:38:09)
1,9% pour augmentation entre 2024 et 2025.</t>
      </text>
    </comment>
    <comment authorId="0" ref="S2">
      <text>
        <t xml:space="preserve">======
ID#AAABpazMih4
Raphaël Hassenforder    (2025-08-18 18:20:43)
1 - Rehausse 
0 - Pas de rehausse
------
ID#AAABpsDz3bg
Raphaël Hassenforder    (2025-08-22 09:45:01)
Remarque tous les modèles de cadres n'ont pas de réhausse possible. Les seuls modèles de cadres qui ont une réhausse possible sont EVA et ALBA.</t>
      </text>
    </comment>
    <comment authorId="0" ref="X2">
      <text>
        <t xml:space="preserve">======
ID#AAABpZAG6vY
Raphaël Hassenforder    (2025-08-17 21:34:02)
1 cadres ajoutés - import a faire 
0 cadres déjà sur Sellsy - pas d'import nécessaire</t>
      </text>
    </comment>
  </commentList>
  <extLst>
    <ext uri="GoogleSheetsCustomDataVersion2">
      <go:sheetsCustomData xmlns:go="http://customooxmlschemas.google.com/" r:id="rId1" roundtripDataSignature="AMtx7mhp71/qoTm98uk6/4MsGrZ2Iont2A=="/>
    </ext>
  </extLst>
</comments>
</file>

<file path=xl/sharedStrings.xml><?xml version="1.0" encoding="utf-8"?>
<sst xmlns="http://schemas.openxmlformats.org/spreadsheetml/2006/main" count="2207" uniqueCount="264">
  <si>
    <t>FRS</t>
  </si>
  <si>
    <t>SELLSY</t>
  </si>
  <si>
    <t>AUTOMATISATION + SELLSY</t>
  </si>
  <si>
    <t>AUTOMATISATION</t>
  </si>
  <si>
    <t xml:space="preserve">ETAPE INTERMEDIAIRE </t>
  </si>
  <si>
    <t>CADRE DEMONTABLE</t>
  </si>
  <si>
    <t>FORMAT</t>
  </si>
  <si>
    <t>CODE</t>
  </si>
  <si>
    <t>GENCODS</t>
  </si>
  <si>
    <t>#VALUE!</t>
  </si>
  <si>
    <t>TARIF HT</t>
  </si>
  <si>
    <t>Cadres Atelier</t>
  </si>
  <si>
    <t xml:space="preserve">Référence Atelier </t>
  </si>
  <si>
    <t>TARIF HT 2025 formule</t>
  </si>
  <si>
    <t>COUT ACHAT  HT 2025</t>
  </si>
  <si>
    <t>TARIF VENTE A 2025</t>
  </si>
  <si>
    <t>CATEGORIE</t>
  </si>
  <si>
    <t>Cadre Maison Raphaël</t>
  </si>
  <si>
    <t>COLORIS</t>
  </si>
  <si>
    <t xml:space="preserve">VITRE BINAIRE </t>
  </si>
  <si>
    <t xml:space="preserve">REHAUSSE BINAIRE </t>
  </si>
  <si>
    <t>POSSIBILITE CHEVALET BINAIRE</t>
  </si>
  <si>
    <t>CHEVALET BINAIRE OUI NON</t>
  </si>
  <si>
    <t>REHAUSSE</t>
  </si>
  <si>
    <t>SAMUEL</t>
  </si>
  <si>
    <t xml:space="preserve">IMPORT A FAIRE </t>
  </si>
  <si>
    <t>VITRE</t>
  </si>
  <si>
    <t>Fournisseur</t>
  </si>
  <si>
    <t>PASSE PARTOUT</t>
  </si>
  <si>
    <t>CHEVALET</t>
  </si>
  <si>
    <t>DECRIPTION PROFIL</t>
  </si>
  <si>
    <t>DESCRIPTION MAISON RAPHAEL</t>
  </si>
  <si>
    <t>NOM COMMERCIAL</t>
  </si>
  <si>
    <t>ARCHIVE TARIF A 2024</t>
  </si>
  <si>
    <t>2024/2025 attention</t>
  </si>
  <si>
    <t>DESCRIPTION</t>
  </si>
  <si>
    <t>MARA 25 BLANC</t>
  </si>
  <si>
    <t>10*15</t>
  </si>
  <si>
    <t>069644</t>
  </si>
  <si>
    <t>MARA 25</t>
  </si>
  <si>
    <t>CADRES CLASSIQUES</t>
  </si>
  <si>
    <t>ROMY</t>
  </si>
  <si>
    <t>BLANC</t>
  </si>
  <si>
    <t>PAS DE REHAUSSE</t>
  </si>
  <si>
    <t>VERRE</t>
  </si>
  <si>
    <t>Pas de passepartout</t>
  </si>
  <si>
    <t>Dos classique sans chevalet</t>
  </si>
  <si>
    <t>(Largeur 25mm Profondeur 15mm)</t>
  </si>
  <si>
    <t>069644DC</t>
  </si>
  <si>
    <t>DOS AVEC CHEVALET</t>
  </si>
  <si>
    <t>11*11</t>
  </si>
  <si>
    <t>069645</t>
  </si>
  <si>
    <t>13*18</t>
  </si>
  <si>
    <t>069647</t>
  </si>
  <si>
    <t>069647DC</t>
  </si>
  <si>
    <t>14*14</t>
  </si>
  <si>
    <t>069649</t>
  </si>
  <si>
    <t>15*20</t>
  </si>
  <si>
    <t>054217</t>
  </si>
  <si>
    <t>15*21</t>
  </si>
  <si>
    <t>069650</t>
  </si>
  <si>
    <t>069650DC</t>
  </si>
  <si>
    <t>18*24</t>
  </si>
  <si>
    <t>069651</t>
  </si>
  <si>
    <t>069651DC</t>
  </si>
  <si>
    <t>18*35</t>
  </si>
  <si>
    <t>069652</t>
  </si>
  <si>
    <t>20*20</t>
  </si>
  <si>
    <t>069653</t>
  </si>
  <si>
    <t>20*30</t>
  </si>
  <si>
    <t>069654</t>
  </si>
  <si>
    <t>069654DC</t>
  </si>
  <si>
    <t>20*50</t>
  </si>
  <si>
    <t>069655</t>
  </si>
  <si>
    <t>20*60</t>
  </si>
  <si>
    <t>069656</t>
  </si>
  <si>
    <t>21*29,7</t>
  </si>
  <si>
    <t>069657</t>
  </si>
  <si>
    <t>23*50</t>
  </si>
  <si>
    <t>069658</t>
  </si>
  <si>
    <t>24*30</t>
  </si>
  <si>
    <t>069659</t>
  </si>
  <si>
    <t>25*50</t>
  </si>
  <si>
    <t>069660</t>
  </si>
  <si>
    <t>29,7*42</t>
  </si>
  <si>
    <t>069661</t>
  </si>
  <si>
    <t>30*30</t>
  </si>
  <si>
    <t>069662</t>
  </si>
  <si>
    <t>30*40</t>
  </si>
  <si>
    <t>069663</t>
  </si>
  <si>
    <t>30*45</t>
  </si>
  <si>
    <t>069664</t>
  </si>
  <si>
    <t>33*95</t>
  </si>
  <si>
    <t>069665</t>
  </si>
  <si>
    <t>40*40</t>
  </si>
  <si>
    <t>069666</t>
  </si>
  <si>
    <t>40*50</t>
  </si>
  <si>
    <t>069667</t>
  </si>
  <si>
    <t>40*60</t>
  </si>
  <si>
    <t>069668</t>
  </si>
  <si>
    <t>42*59,4</t>
  </si>
  <si>
    <t>068156</t>
  </si>
  <si>
    <t>46*61</t>
  </si>
  <si>
    <t>069669</t>
  </si>
  <si>
    <t>50*50</t>
  </si>
  <si>
    <t>069670</t>
  </si>
  <si>
    <t>50*60</t>
  </si>
  <si>
    <t>069671</t>
  </si>
  <si>
    <t>50*65</t>
  </si>
  <si>
    <t>069672</t>
  </si>
  <si>
    <t>50*70</t>
  </si>
  <si>
    <t>069673</t>
  </si>
  <si>
    <t>60*60</t>
  </si>
  <si>
    <t>054317</t>
  </si>
  <si>
    <t>60*80</t>
  </si>
  <si>
    <t>069674</t>
  </si>
  <si>
    <t>61*91,5</t>
  </si>
  <si>
    <t>069675</t>
  </si>
  <si>
    <t>70*70</t>
  </si>
  <si>
    <t>069676</t>
  </si>
  <si>
    <t>50*100</t>
  </si>
  <si>
    <t>069677</t>
  </si>
  <si>
    <t>70*100</t>
  </si>
  <si>
    <t>069678</t>
  </si>
  <si>
    <t>MARA 40 BLANC</t>
  </si>
  <si>
    <t>069536</t>
  </si>
  <si>
    <t>MARA 40</t>
  </si>
  <si>
    <t>(Largeur 40mm Profondeur 15mm)</t>
  </si>
  <si>
    <t>069536DC</t>
  </si>
  <si>
    <t>069537</t>
  </si>
  <si>
    <t>069539</t>
  </si>
  <si>
    <t>069539DC</t>
  </si>
  <si>
    <t>069541</t>
  </si>
  <si>
    <t>054219</t>
  </si>
  <si>
    <t>069542</t>
  </si>
  <si>
    <t>069542DC</t>
  </si>
  <si>
    <t>069543</t>
  </si>
  <si>
    <t>069543DC</t>
  </si>
  <si>
    <t>069544</t>
  </si>
  <si>
    <t>069545</t>
  </si>
  <si>
    <t>069546</t>
  </si>
  <si>
    <t>069546DC</t>
  </si>
  <si>
    <t>069547</t>
  </si>
  <si>
    <t>069548</t>
  </si>
  <si>
    <t>069549</t>
  </si>
  <si>
    <t>069550</t>
  </si>
  <si>
    <t>069551</t>
  </si>
  <si>
    <t>069552</t>
  </si>
  <si>
    <t>069553</t>
  </si>
  <si>
    <t>069554</t>
  </si>
  <si>
    <t>069555</t>
  </si>
  <si>
    <t>069556</t>
  </si>
  <si>
    <t>069557</t>
  </si>
  <si>
    <t>069558</t>
  </si>
  <si>
    <t>069559</t>
  </si>
  <si>
    <t>069560</t>
  </si>
  <si>
    <t>068158</t>
  </si>
  <si>
    <t>069561</t>
  </si>
  <si>
    <t>069562</t>
  </si>
  <si>
    <t>069563</t>
  </si>
  <si>
    <t>069564</t>
  </si>
  <si>
    <t>069565</t>
  </si>
  <si>
    <t>054319</t>
  </si>
  <si>
    <t>069566</t>
  </si>
  <si>
    <t>069567</t>
  </si>
  <si>
    <t>069568</t>
  </si>
  <si>
    <t>069569</t>
  </si>
  <si>
    <t>069570</t>
  </si>
  <si>
    <t>MARA 25 NOIR</t>
  </si>
  <si>
    <t>069608</t>
  </si>
  <si>
    <t>NOIR</t>
  </si>
  <si>
    <t>069608DC</t>
  </si>
  <si>
    <t>069609</t>
  </si>
  <si>
    <t>069611</t>
  </si>
  <si>
    <t>069611DC</t>
  </si>
  <si>
    <t>069613</t>
  </si>
  <si>
    <t>054216</t>
  </si>
  <si>
    <t>069614</t>
  </si>
  <si>
    <t>069614DC</t>
  </si>
  <si>
    <t>069615</t>
  </si>
  <si>
    <t>069615DC</t>
  </si>
  <si>
    <t>069616</t>
  </si>
  <si>
    <t>069617</t>
  </si>
  <si>
    <t>069618</t>
  </si>
  <si>
    <t>069618DC</t>
  </si>
  <si>
    <t>069619</t>
  </si>
  <si>
    <t>069620</t>
  </si>
  <si>
    <t>069621</t>
  </si>
  <si>
    <t>069622</t>
  </si>
  <si>
    <t>069623</t>
  </si>
  <si>
    <t>069624</t>
  </si>
  <si>
    <t>069625</t>
  </si>
  <si>
    <t>069626</t>
  </si>
  <si>
    <t>069627</t>
  </si>
  <si>
    <t>069628</t>
  </si>
  <si>
    <t>069629</t>
  </si>
  <si>
    <t>069630</t>
  </si>
  <si>
    <t>069631</t>
  </si>
  <si>
    <t>069632</t>
  </si>
  <si>
    <t>068155</t>
  </si>
  <si>
    <t>069633</t>
  </si>
  <si>
    <t>069634</t>
  </si>
  <si>
    <t>069635</t>
  </si>
  <si>
    <t>069636</t>
  </si>
  <si>
    <t>069637</t>
  </si>
  <si>
    <t>054316</t>
  </si>
  <si>
    <t>069638</t>
  </si>
  <si>
    <t>069639</t>
  </si>
  <si>
    <t>069640</t>
  </si>
  <si>
    <t>069641</t>
  </si>
  <si>
    <t>069642</t>
  </si>
  <si>
    <t>MARA 40 NOIR</t>
  </si>
  <si>
    <t>069500</t>
  </si>
  <si>
    <t>069500DC</t>
  </si>
  <si>
    <t>069501</t>
  </si>
  <si>
    <t>069503</t>
  </si>
  <si>
    <t>069503DC</t>
  </si>
  <si>
    <t>069505</t>
  </si>
  <si>
    <t>054218</t>
  </si>
  <si>
    <t>069506</t>
  </si>
  <si>
    <t>069506DC</t>
  </si>
  <si>
    <t>069507</t>
  </si>
  <si>
    <t>069507DC</t>
  </si>
  <si>
    <t>069508</t>
  </si>
  <si>
    <t>069509</t>
  </si>
  <si>
    <t>069510</t>
  </si>
  <si>
    <t>069510DC</t>
  </si>
  <si>
    <t>069511</t>
  </si>
  <si>
    <t>069512</t>
  </si>
  <si>
    <t>069513</t>
  </si>
  <si>
    <t>069514</t>
  </si>
  <si>
    <t>069515</t>
  </si>
  <si>
    <t>069516</t>
  </si>
  <si>
    <t>069517</t>
  </si>
  <si>
    <t>069518</t>
  </si>
  <si>
    <t>069519</t>
  </si>
  <si>
    <t>069520</t>
  </si>
  <si>
    <t>069521</t>
  </si>
  <si>
    <t>069522</t>
  </si>
  <si>
    <t>069523</t>
  </si>
  <si>
    <t>069524</t>
  </si>
  <si>
    <t>068157</t>
  </si>
  <si>
    <t>069525</t>
  </si>
  <si>
    <t>069526</t>
  </si>
  <si>
    <t>069527</t>
  </si>
  <si>
    <t>069528</t>
  </si>
  <si>
    <t>069529</t>
  </si>
  <si>
    <t>054318</t>
  </si>
  <si>
    <t>069530</t>
  </si>
  <si>
    <t>069531</t>
  </si>
  <si>
    <t>069532</t>
  </si>
  <si>
    <t>069533</t>
  </si>
  <si>
    <t>069534</t>
  </si>
  <si>
    <t>Référence:</t>
  </si>
  <si>
    <t>Description:</t>
  </si>
  <si>
    <t>Nom commercial</t>
  </si>
  <si>
    <t>Coût d'achat HT 2025</t>
  </si>
  <si>
    <t>Tarif vente 2025</t>
  </si>
  <si>
    <t xml:space="preserve">SKU identifiant </t>
  </si>
  <si>
    <r>
      <rPr>
        <rFont val="Arial"/>
        <color theme="1"/>
      </rPr>
      <t xml:space="preserve">Uniquement le code pour AED avec le nom de cadre fournisseur.
Ca sert uniquement pour le bon de commande.
</t>
    </r>
    <r>
      <rPr>
        <rFont val="Arial"/>
        <b/>
        <color theme="1"/>
      </rPr>
      <t>A cacher aux le clients</t>
    </r>
  </si>
  <si>
    <r>
      <rPr>
        <rFont val="Arial"/>
        <color theme="1"/>
      </rPr>
      <t xml:space="preserve">Nom du cadre MAISON RAPHAEL avec toutes les options indiquées
</t>
    </r>
    <r>
      <rPr>
        <rFont val="Arial"/>
        <b/>
        <color theme="1"/>
      </rPr>
      <t>Visible par le client ET le fournisseur</t>
    </r>
  </si>
  <si>
    <r>
      <rPr>
        <rFont val="Arial"/>
        <color theme="1"/>
      </rPr>
      <t xml:space="preserve">Nom du cadre a spécifier lors de la recheche dans le catalogue (garder ce qu'on a déjà)
</t>
    </r>
    <r>
      <rPr>
        <rFont val="Arial"/>
        <b/>
        <color theme="1"/>
      </rPr>
      <t>Visible uniquement dans la recherche du catalogue Sellsy</t>
    </r>
  </si>
  <si>
    <r>
      <rPr>
        <rFont val="Arial"/>
        <color theme="1"/>
      </rPr>
      <t xml:space="preserve">Cout d'achat fournisseur 2025
</t>
    </r>
    <r>
      <rPr>
        <rFont val="Arial"/>
        <b/>
        <color theme="1"/>
      </rPr>
      <t>Visible uniquement par le fournisseur</t>
    </r>
  </si>
  <si>
    <r>
      <rPr>
        <rFont val="Arial"/>
        <color theme="1"/>
      </rPr>
      <t xml:space="preserve">Tarif de vente 2025 pour le client
</t>
    </r>
    <r>
      <rPr>
        <rFont val="Arial"/>
        <b/>
        <color theme="1"/>
      </rPr>
      <t>Visible uniquement par le client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</si>
</sst>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 * #,##0.00_)\ &quot;€&quot;_ ;_ * \(#,##0.00\)\ &quot;€&quot;_ ;_ * &quot;-&quot;??_)\ &quot;€&quot;_ ;_ @_ "/>
    <numFmt numFmtId="165" formatCode="#,##0.00\ [$€-1]"/>
  </numFmts>
  <fonts count="14">
    <font>
      <sz val="12.0"/>
      <color theme="1"/>
      <name val="Aptos Narrow"/>
      <scheme val="minor"/>
    </font>
    <font>
      <b/>
      <i/>
      <u/>
      <sz val="12.0"/>
      <color theme="1"/>
      <name val="Arial"/>
    </font>
    <font>
      <b/>
      <sz val="12.0"/>
      <color theme="1"/>
      <name val="Arial"/>
    </font>
    <font>
      <b/>
      <sz val="12.0"/>
      <color rgb="FFFFFFFF"/>
      <name val="Arial"/>
    </font>
    <font>
      <b/>
      <i/>
      <u/>
      <sz val="12.0"/>
      <color theme="1"/>
      <name val="Arial"/>
    </font>
    <font>
      <b/>
      <i/>
      <u/>
      <sz val="12.0"/>
      <color theme="1"/>
      <name val="Arial"/>
    </font>
    <font>
      <b/>
      <i/>
      <u/>
      <sz val="12.0"/>
      <color theme="1"/>
      <name val="Arial"/>
    </font>
    <font>
      <b/>
      <i/>
      <u/>
      <sz val="12.0"/>
      <color rgb="FFFFFFFF"/>
      <name val="Arial"/>
    </font>
    <font>
      <b/>
      <i/>
      <u/>
      <sz val="12.0"/>
      <color theme="1"/>
      <name val="Arial"/>
    </font>
    <font/>
    <font>
      <sz val="12.0"/>
      <color theme="1"/>
      <name val="Arial"/>
    </font>
    <font>
      <color theme="1"/>
      <name val="Aptos Narrow"/>
    </font>
    <font>
      <b/>
      <sz val="17.0"/>
      <color theme="1"/>
      <name val="Arial"/>
    </font>
    <font>
      <color theme="1"/>
      <name val="Arial"/>
    </font>
  </fonts>
  <fills count="14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B4A7D6"/>
        <bgColor rgb="FFB4A7D6"/>
      </patternFill>
    </fill>
    <fill>
      <patternFill patternType="solid">
        <fgColor rgb="FFE69138"/>
        <bgColor rgb="FFE69138"/>
      </patternFill>
    </fill>
    <fill>
      <patternFill patternType="solid">
        <fgColor rgb="FFFF00FF"/>
        <bgColor rgb="FFFF00FF"/>
      </patternFill>
    </fill>
    <fill>
      <patternFill patternType="solid">
        <fgColor rgb="FF6D9EEB"/>
        <bgColor rgb="FF6D9EEB"/>
      </patternFill>
    </fill>
    <fill>
      <patternFill patternType="solid">
        <fgColor rgb="FF85200C"/>
        <bgColor rgb="FF85200C"/>
      </patternFill>
    </fill>
    <fill>
      <patternFill patternType="solid">
        <fgColor theme="5"/>
        <bgColor theme="5"/>
      </patternFill>
    </fill>
    <fill>
      <patternFill patternType="solid">
        <fgColor rgb="FF808080"/>
        <bgColor rgb="FF808080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47D45A"/>
        <bgColor rgb="FF47D45A"/>
      </patternFill>
    </fill>
  </fills>
  <borders count="1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medium">
        <color rgb="FF000000"/>
      </left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bottom/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center" wrapText="1"/>
    </xf>
    <xf borderId="0" fillId="2" fontId="2" numFmtId="0" xfId="0" applyAlignment="1" applyFont="1">
      <alignment horizontal="center" shrinkToFit="0" vertical="center" wrapText="1"/>
    </xf>
    <xf borderId="0" fillId="2" fontId="2" numFmtId="164" xfId="0" applyAlignment="1" applyFont="1" applyNumberFormat="1">
      <alignment horizontal="center" shrinkToFit="0" vertical="center" wrapText="1"/>
    </xf>
    <xf borderId="0" fillId="3" fontId="2" numFmtId="2" xfId="0" applyAlignment="1" applyFill="1" applyFont="1" applyNumberFormat="1">
      <alignment horizontal="center" shrinkToFit="0" vertical="center" wrapText="1"/>
    </xf>
    <xf borderId="0" fillId="4" fontId="3" numFmtId="164" xfId="0" applyAlignment="1" applyFill="1" applyFont="1" applyNumberFormat="1">
      <alignment horizontal="center" shrinkToFit="0" vertical="center" wrapText="1"/>
    </xf>
    <xf borderId="0" fillId="5" fontId="2" numFmtId="0" xfId="0" applyAlignment="1" applyFill="1" applyFont="1">
      <alignment horizontal="center" shrinkToFit="0" vertical="center" wrapText="1"/>
    </xf>
    <xf borderId="0" fillId="6" fontId="2" numFmtId="2" xfId="0" applyAlignment="1" applyFill="1" applyFont="1" applyNumberFormat="1">
      <alignment horizontal="center" shrinkToFit="0" vertical="center" wrapText="1"/>
    </xf>
    <xf borderId="0" fillId="7" fontId="3" numFmtId="164" xfId="0" applyAlignment="1" applyFill="1" applyFont="1" applyNumberForma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1"/>
    </xf>
    <xf borderId="1" fillId="0" fontId="5" numFmtId="0" xfId="0" applyAlignment="1" applyBorder="1" applyFont="1">
      <alignment horizontal="center" shrinkToFit="0" vertical="center" wrapText="1"/>
    </xf>
    <xf borderId="1" fillId="8" fontId="6" numFmtId="0" xfId="0" applyAlignment="1" applyBorder="1" applyFill="1" applyFont="1">
      <alignment horizontal="center" shrinkToFit="0" vertical="center" wrapText="1"/>
    </xf>
    <xf borderId="1" fillId="9" fontId="7" numFmtId="49" xfId="0" applyAlignment="1" applyBorder="1" applyFill="1" applyFont="1" applyNumberFormat="1">
      <alignment horizontal="center" shrinkToFit="0" vertical="center" wrapText="1"/>
    </xf>
    <xf borderId="2" fillId="0" fontId="8" numFmtId="0" xfId="0" applyAlignment="1" applyBorder="1" applyFont="1">
      <alignment horizontal="center" shrinkToFit="0" vertical="center" wrapText="1"/>
    </xf>
    <xf borderId="3" fillId="0" fontId="9" numFmtId="0" xfId="0" applyBorder="1" applyFont="1"/>
    <xf borderId="1" fillId="0" fontId="2" numFmtId="0" xfId="0" applyAlignment="1" applyBorder="1" applyFont="1">
      <alignment horizontal="center" shrinkToFit="0" vertical="center" wrapText="1"/>
    </xf>
    <xf borderId="1" fillId="10" fontId="2" numFmtId="164" xfId="0" applyAlignment="1" applyBorder="1" applyFill="1" applyFont="1" applyNumberFormat="1">
      <alignment horizontal="center" shrinkToFit="0" vertical="center" wrapText="1"/>
    </xf>
    <xf borderId="1" fillId="0" fontId="2" numFmtId="2" xfId="0" applyAlignment="1" applyBorder="1" applyFont="1" applyNumberFormat="1">
      <alignment horizontal="center" shrinkToFit="0" vertical="center" wrapText="1"/>
    </xf>
    <xf borderId="1" fillId="11" fontId="2" numFmtId="0" xfId="0" applyAlignment="1" applyBorder="1" applyFill="1" applyFont="1">
      <alignment horizontal="center" shrinkToFit="0" vertical="center" wrapText="1"/>
    </xf>
    <xf borderId="1" fillId="8" fontId="2" numFmtId="2" xfId="0" applyAlignment="1" applyBorder="1" applyFont="1" applyNumberFormat="1">
      <alignment horizontal="center" shrinkToFit="0" vertical="center" wrapText="1"/>
    </xf>
    <xf borderId="1" fillId="11" fontId="2" numFmtId="164" xfId="0" applyAlignment="1" applyBorder="1" applyFont="1" applyNumberFormat="1">
      <alignment horizontal="center" shrinkToFit="0" vertical="center" wrapText="1"/>
    </xf>
    <xf borderId="1" fillId="12" fontId="2" numFmtId="0" xfId="0" applyAlignment="1" applyBorder="1" applyFill="1" applyFont="1">
      <alignment horizontal="center" shrinkToFit="0" vertical="center" wrapText="1"/>
    </xf>
    <xf borderId="1" fillId="6" fontId="2" numFmtId="2" xfId="0" applyAlignment="1" applyBorder="1" applyFont="1" applyNumberFormat="1">
      <alignment horizontal="center" shrinkToFit="0" vertical="center" wrapText="1"/>
    </xf>
    <xf borderId="1" fillId="0" fontId="2" numFmtId="1" xfId="0" applyAlignment="1" applyBorder="1" applyFont="1" applyNumberFormat="1">
      <alignment horizontal="center" shrinkToFit="0" vertical="center" wrapText="1"/>
    </xf>
    <xf borderId="1" fillId="10" fontId="2" numFmtId="0" xfId="0" applyAlignment="1" applyBorder="1" applyFont="1">
      <alignment horizontal="center" shrinkToFit="0" vertical="center" wrapText="1"/>
    </xf>
    <xf borderId="1" fillId="0" fontId="2" numFmtId="164" xfId="0" applyAlignment="1" applyBorder="1" applyFont="1" applyNumberFormat="1">
      <alignment horizontal="center" shrinkToFit="0" vertical="center" wrapText="1"/>
    </xf>
    <xf borderId="0" fillId="0" fontId="10" numFmtId="0" xfId="0" applyAlignment="1" applyFont="1">
      <alignment horizontal="center" shrinkToFit="0" vertical="center" wrapText="1"/>
    </xf>
    <xf borderId="4" fillId="0" fontId="10" numFmtId="0" xfId="0" applyAlignment="1" applyBorder="1" applyFont="1">
      <alignment horizontal="center" shrinkToFit="0" vertical="center" wrapText="1"/>
    </xf>
    <xf borderId="5" fillId="0" fontId="2" numFmtId="0" xfId="0" applyAlignment="1" applyBorder="1" applyFont="1">
      <alignment horizontal="center" shrinkToFit="0" vertical="center" wrapText="1"/>
    </xf>
    <xf borderId="6" fillId="9" fontId="3" numFmtId="49" xfId="0" applyAlignment="1" applyBorder="1" applyFont="1" applyNumberFormat="1">
      <alignment horizontal="center" shrinkToFit="0" vertical="center" wrapText="1"/>
    </xf>
    <xf borderId="7" fillId="0" fontId="9" numFmtId="0" xfId="0" applyBorder="1" applyFont="1"/>
    <xf borderId="8" fillId="0" fontId="9" numFmtId="0" xfId="0" applyBorder="1" applyFont="1"/>
    <xf borderId="2" fillId="0" fontId="10" numFmtId="0" xfId="0" applyAlignment="1" applyBorder="1" applyFont="1">
      <alignment horizontal="center" shrinkToFit="0" vertical="center" wrapText="1"/>
    </xf>
    <xf borderId="9" fillId="10" fontId="2" numFmtId="0" xfId="0" applyAlignment="1" applyBorder="1" applyFont="1">
      <alignment horizontal="center" shrinkToFit="0" vertical="center" wrapText="1"/>
    </xf>
    <xf borderId="0" fillId="0" fontId="10" numFmtId="2" xfId="0" applyAlignment="1" applyFont="1" applyNumberFormat="1">
      <alignment horizontal="center" shrinkToFit="0" vertical="center" wrapText="1"/>
    </xf>
    <xf borderId="0" fillId="0" fontId="10" numFmtId="1" xfId="0" applyAlignment="1" applyFont="1" applyNumberFormat="1">
      <alignment horizontal="center" shrinkToFit="0" vertical="center" wrapText="1"/>
    </xf>
    <xf borderId="0" fillId="13" fontId="10" numFmtId="1" xfId="0" applyAlignment="1" applyFill="1" applyFont="1" applyNumberFormat="1">
      <alignment horizontal="center" shrinkToFit="0" vertical="center" wrapText="1"/>
    </xf>
    <xf borderId="0" fillId="10" fontId="10" numFmtId="0" xfId="0" applyAlignment="1" applyFont="1">
      <alignment horizontal="center" shrinkToFit="0" vertical="center" wrapText="1"/>
    </xf>
    <xf borderId="0" fillId="0" fontId="10" numFmtId="0" xfId="0" applyAlignment="1" applyFont="1">
      <alignment horizontal="center" vertical="center"/>
    </xf>
    <xf borderId="10" fillId="0" fontId="10" numFmtId="0" xfId="0" applyAlignment="1" applyBorder="1" applyFont="1">
      <alignment horizontal="center" vertical="center"/>
    </xf>
    <xf borderId="11" fillId="0" fontId="2" numFmtId="0" xfId="0" applyAlignment="1" applyBorder="1" applyFont="1">
      <alignment horizontal="center" vertical="center"/>
    </xf>
    <xf borderId="12" fillId="9" fontId="3" numFmtId="49" xfId="0" applyAlignment="1" applyBorder="1" applyFont="1" applyNumberFormat="1">
      <alignment horizontal="center" vertical="center"/>
    </xf>
    <xf borderId="13" fillId="0" fontId="10" numFmtId="0" xfId="0" applyAlignment="1" applyBorder="1" applyFont="1">
      <alignment horizontal="center" vertical="center"/>
    </xf>
    <xf borderId="1" fillId="0" fontId="10" numFmtId="0" xfId="0" applyAlignment="1" applyBorder="1" applyFont="1">
      <alignment horizontal="center" vertical="center"/>
    </xf>
    <xf borderId="14" fillId="0" fontId="10" numFmtId="0" xfId="0" applyAlignment="1" applyBorder="1" applyFont="1">
      <alignment horizontal="center" vertical="center"/>
    </xf>
    <xf borderId="15" fillId="10" fontId="10" numFmtId="164" xfId="0" applyAlignment="1" applyBorder="1" applyFont="1" applyNumberFormat="1">
      <alignment horizontal="center" vertical="center"/>
    </xf>
    <xf borderId="0" fillId="0" fontId="10" numFmtId="2" xfId="0" applyAlignment="1" applyFont="1" applyNumberFormat="1">
      <alignment horizontal="center" vertical="center"/>
    </xf>
    <xf borderId="0" fillId="13" fontId="10" numFmtId="2" xfId="0" applyAlignment="1" applyFont="1" applyNumberFormat="1">
      <alignment horizontal="center" vertical="center"/>
    </xf>
    <xf borderId="0" fillId="0" fontId="10" numFmtId="165" xfId="0" applyAlignment="1" applyFont="1" applyNumberFormat="1">
      <alignment horizontal="center" vertical="center"/>
    </xf>
    <xf borderId="0" fillId="0" fontId="10" numFmtId="1" xfId="0" applyAlignment="1" applyFont="1" applyNumberFormat="1">
      <alignment horizontal="center" vertical="center"/>
    </xf>
    <xf borderId="0" fillId="10" fontId="10" numFmtId="0" xfId="0" applyAlignment="1" applyFont="1">
      <alignment horizontal="center" vertical="center"/>
    </xf>
    <xf borderId="16" fillId="0" fontId="2" numFmtId="0" xfId="0" applyAlignment="1" applyBorder="1" applyFont="1">
      <alignment horizontal="center" vertical="center"/>
    </xf>
    <xf borderId="0" fillId="0" fontId="10" numFmtId="164" xfId="0" applyAlignment="1" applyFont="1" applyNumberFormat="1">
      <alignment horizontal="center" vertical="center"/>
    </xf>
    <xf borderId="12" fillId="10" fontId="10" numFmtId="164" xfId="0" applyAlignment="1" applyBorder="1" applyFont="1" applyNumberFormat="1">
      <alignment horizontal="center" vertical="center"/>
    </xf>
    <xf borderId="0" fillId="0" fontId="11" numFmtId="0" xfId="0" applyAlignment="1" applyFont="1">
      <alignment shrinkToFit="0" wrapText="1"/>
    </xf>
    <xf borderId="1" fillId="11" fontId="12" numFmtId="0" xfId="0" applyAlignment="1" applyBorder="1" applyFont="1">
      <alignment horizontal="center" shrinkToFit="0" vertical="center" wrapText="1"/>
    </xf>
    <xf borderId="1" fillId="11" fontId="12" numFmtId="0" xfId="0" applyAlignment="1" applyBorder="1" applyFont="1">
      <alignment horizontal="center" vertical="center"/>
    </xf>
    <xf borderId="1" fillId="11" fontId="12" numFmtId="0" xfId="0" applyAlignment="1" applyBorder="1" applyFont="1">
      <alignment vertical="center"/>
    </xf>
    <xf borderId="1" fillId="0" fontId="13" numFmtId="0" xfId="0" applyAlignment="1" applyBorder="1" applyFont="1">
      <alignment shrinkToFit="0" vertical="center" wrapText="1"/>
    </xf>
    <xf borderId="0" fillId="0" fontId="13" numFmtId="0" xfId="0" applyAlignment="1" applyFont="1">
      <alignment shrinkToFit="0" wrapText="1"/>
    </xf>
    <xf borderId="0" fillId="0" fontId="13" numFmtId="0" xfId="0" applyFont="1"/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1.22" defaultRowHeight="15.0"/>
  <cols>
    <col customWidth="1" min="1" max="1" width="6.33"/>
    <col customWidth="1" min="2" max="2" width="27.56"/>
    <col customWidth="1" min="3" max="3" width="10.33"/>
    <col customWidth="1" min="4" max="4" width="10.89"/>
    <col customWidth="1" min="5" max="6" width="8.33"/>
    <col customWidth="1" min="7" max="7" width="11.11"/>
    <col customWidth="1" min="8" max="8" width="11.33"/>
    <col customWidth="1" min="10" max="10" width="27.0"/>
    <col customWidth="1" min="11" max="11" width="12.11"/>
    <col customWidth="1" min="12" max="12" width="14.11"/>
    <col customWidth="1" min="13" max="13" width="13.56"/>
    <col customWidth="1" min="14" max="14" width="17.56"/>
    <col customWidth="1" min="15" max="15" width="12.44"/>
    <col customWidth="1" min="16" max="16" width="10.44"/>
    <col customWidth="1" min="17" max="17" width="17.67"/>
    <col customWidth="1" min="18" max="18" width="12.78"/>
    <col customWidth="1" min="19" max="19" width="10.0"/>
    <col customWidth="1" min="20" max="20" width="12.89"/>
    <col customWidth="1" min="21" max="21" width="11.44"/>
    <col customWidth="1" min="22" max="22" width="35.0"/>
    <col customWidth="1" min="23" max="23" width="57.0"/>
    <col customWidth="1" min="24" max="24" width="9.0"/>
    <col customWidth="1" min="25" max="25" width="13.11"/>
    <col customWidth="1" min="26" max="26" width="39.33"/>
    <col customWidth="1" min="27" max="27" width="21.89"/>
    <col customWidth="1" min="28" max="28" width="23.33"/>
    <col customWidth="1" min="29" max="29" width="43.89"/>
    <col customWidth="1" min="30" max="30" width="40.22"/>
    <col customWidth="1" min="31" max="31" width="149.44"/>
    <col customWidth="1" min="32" max="32" width="139.78"/>
    <col customWidth="1" min="33" max="33" width="10.89"/>
    <col customWidth="1" min="34" max="42" width="12.44"/>
  </cols>
  <sheetData>
    <row r="1">
      <c r="A1" s="1"/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2" t="s">
        <v>0</v>
      </c>
      <c r="H1" s="3" t="s">
        <v>0</v>
      </c>
      <c r="I1" s="2" t="s">
        <v>0</v>
      </c>
      <c r="J1" s="4" t="s">
        <v>1</v>
      </c>
      <c r="K1" s="4" t="s">
        <v>1</v>
      </c>
      <c r="L1" s="4" t="s">
        <v>1</v>
      </c>
      <c r="M1" s="5" t="s">
        <v>2</v>
      </c>
      <c r="N1" s="6" t="s">
        <v>3</v>
      </c>
      <c r="O1" s="6" t="s">
        <v>3</v>
      </c>
      <c r="P1" s="6" t="s">
        <v>3</v>
      </c>
      <c r="Q1" s="6" t="s">
        <v>3</v>
      </c>
      <c r="R1" s="6" t="s">
        <v>3</v>
      </c>
      <c r="S1" s="6" t="s">
        <v>3</v>
      </c>
      <c r="T1" s="6" t="s">
        <v>3</v>
      </c>
      <c r="U1" s="6" t="s">
        <v>3</v>
      </c>
      <c r="V1" s="6" t="s">
        <v>3</v>
      </c>
      <c r="W1" s="7"/>
      <c r="X1" s="8" t="s">
        <v>4</v>
      </c>
      <c r="Y1" s="8" t="s">
        <v>4</v>
      </c>
      <c r="Z1" s="8" t="s">
        <v>4</v>
      </c>
      <c r="AA1" s="8" t="s">
        <v>4</v>
      </c>
      <c r="AB1" s="8" t="s">
        <v>4</v>
      </c>
      <c r="AC1" s="8" t="s">
        <v>4</v>
      </c>
      <c r="AD1" s="8" t="s">
        <v>4</v>
      </c>
      <c r="AE1" s="8" t="s">
        <v>4</v>
      </c>
      <c r="AF1" s="8" t="s">
        <v>4</v>
      </c>
      <c r="AG1" s="8" t="s">
        <v>4</v>
      </c>
      <c r="AH1" s="9"/>
      <c r="AI1" s="9"/>
      <c r="AJ1" s="9"/>
      <c r="AK1" s="9"/>
      <c r="AL1" s="9"/>
      <c r="AM1" s="9"/>
      <c r="AN1" s="9"/>
      <c r="AO1" s="9"/>
      <c r="AP1" s="9"/>
    </row>
    <row r="2" ht="48.0" customHeight="1">
      <c r="A2" s="10"/>
      <c r="B2" s="11" t="s">
        <v>5</v>
      </c>
      <c r="C2" s="12" t="s">
        <v>6</v>
      </c>
      <c r="D2" s="13" t="s">
        <v>7</v>
      </c>
      <c r="E2" s="14" t="s">
        <v>8</v>
      </c>
      <c r="F2" s="15"/>
      <c r="G2" s="16" t="s">
        <v>9</v>
      </c>
      <c r="H2" s="17" t="s">
        <v>10</v>
      </c>
      <c r="I2" s="18" t="s">
        <v>11</v>
      </c>
      <c r="J2" s="19" t="s">
        <v>12</v>
      </c>
      <c r="K2" s="18" t="s">
        <v>13</v>
      </c>
      <c r="L2" s="20" t="s">
        <v>14</v>
      </c>
      <c r="M2" s="21" t="s">
        <v>15</v>
      </c>
      <c r="N2" s="22" t="s">
        <v>16</v>
      </c>
      <c r="O2" s="16" t="s">
        <v>17</v>
      </c>
      <c r="P2" s="16" t="s">
        <v>18</v>
      </c>
      <c r="Q2" s="23" t="s">
        <v>6</v>
      </c>
      <c r="R2" s="24" t="s">
        <v>19</v>
      </c>
      <c r="S2" s="25" t="s">
        <v>20</v>
      </c>
      <c r="T2" s="25" t="s">
        <v>21</v>
      </c>
      <c r="U2" s="25" t="s">
        <v>22</v>
      </c>
      <c r="V2" s="16" t="s">
        <v>23</v>
      </c>
      <c r="W2" s="23" t="s">
        <v>24</v>
      </c>
      <c r="X2" s="24" t="s">
        <v>25</v>
      </c>
      <c r="Y2" s="11" t="s">
        <v>26</v>
      </c>
      <c r="Z2" s="18" t="s">
        <v>27</v>
      </c>
      <c r="AA2" s="16" t="s">
        <v>28</v>
      </c>
      <c r="AB2" s="16" t="s">
        <v>29</v>
      </c>
      <c r="AC2" s="18"/>
      <c r="AD2" s="16" t="s">
        <v>30</v>
      </c>
      <c r="AE2" s="19" t="s">
        <v>31</v>
      </c>
      <c r="AF2" s="21" t="s">
        <v>32</v>
      </c>
      <c r="AG2" s="26" t="s">
        <v>33</v>
      </c>
      <c r="AH2" s="16"/>
      <c r="AI2" s="16"/>
      <c r="AJ2" s="16"/>
      <c r="AK2" s="16"/>
      <c r="AL2" s="16"/>
      <c r="AM2" s="16"/>
      <c r="AN2" s="16"/>
      <c r="AO2" s="16"/>
      <c r="AP2" s="16"/>
    </row>
    <row r="3" ht="37.5" customHeight="1">
      <c r="A3" s="27"/>
      <c r="B3" s="28"/>
      <c r="C3" s="29"/>
      <c r="D3" s="30"/>
      <c r="E3" s="31"/>
      <c r="F3" s="32"/>
      <c r="G3" s="33" t="s">
        <v>9</v>
      </c>
      <c r="H3" s="34" t="s">
        <v>34</v>
      </c>
      <c r="I3" s="35"/>
      <c r="J3" s="27"/>
      <c r="K3" s="36">
        <v>2025.0</v>
      </c>
      <c r="L3" s="37">
        <v>2025.0</v>
      </c>
      <c r="M3" s="27">
        <v>1.825</v>
      </c>
      <c r="N3" s="27"/>
      <c r="O3" s="27"/>
      <c r="P3" s="27"/>
      <c r="Q3" s="35"/>
      <c r="R3" s="36"/>
      <c r="S3" s="38"/>
      <c r="T3" s="38"/>
      <c r="U3" s="38"/>
      <c r="V3" s="27"/>
      <c r="W3" s="35" t="s">
        <v>35</v>
      </c>
      <c r="X3" s="36"/>
      <c r="Y3" s="29"/>
      <c r="Z3" s="35"/>
      <c r="AA3" s="27"/>
      <c r="AB3" s="27"/>
      <c r="AC3" s="35"/>
      <c r="AD3" s="27"/>
      <c r="AE3" s="27"/>
      <c r="AF3" s="27" t="str">
        <f t="shared" ref="AF3:AF167" si="1">AE3</f>
        <v/>
      </c>
      <c r="AG3" s="27">
        <v>1.8</v>
      </c>
      <c r="AH3" s="27"/>
      <c r="AI3" s="27"/>
      <c r="AJ3" s="27"/>
      <c r="AK3" s="27"/>
      <c r="AL3" s="27"/>
      <c r="AM3" s="27"/>
      <c r="AN3" s="27"/>
      <c r="AO3" s="27"/>
      <c r="AP3" s="27"/>
    </row>
    <row r="4" ht="15.75" customHeight="1">
      <c r="A4" s="39">
        <v>1016.0</v>
      </c>
      <c r="B4" s="40" t="s">
        <v>36</v>
      </c>
      <c r="C4" s="41" t="s">
        <v>37</v>
      </c>
      <c r="D4" s="42" t="s">
        <v>38</v>
      </c>
      <c r="E4" s="43">
        <v>345707.0</v>
      </c>
      <c r="F4" s="44" t="s">
        <v>38</v>
      </c>
      <c r="G4" s="45">
        <v>7.0</v>
      </c>
      <c r="H4" s="46">
        <v>2.571231680997874</v>
      </c>
      <c r="I4" s="47" t="s">
        <v>39</v>
      </c>
      <c r="J4" s="39" t="str">
        <f t="shared" ref="J4:J167" si="2">CONCATENATE(D4," - ",I4)</f>
        <v>069644 - MARA 25</v>
      </c>
      <c r="K4" s="47">
        <f t="shared" ref="K4:K167" si="3">L4*1.825</f>
        <v>4.7815</v>
      </c>
      <c r="L4" s="48">
        <v>2.62</v>
      </c>
      <c r="M4" s="49">
        <f t="shared" ref="M4:M167" si="4">$M$3*L4</f>
        <v>4.7815</v>
      </c>
      <c r="N4" s="39" t="s">
        <v>40</v>
      </c>
      <c r="O4" s="39" t="s">
        <v>41</v>
      </c>
      <c r="P4" s="39" t="s">
        <v>42</v>
      </c>
      <c r="Q4" s="47" t="str">
        <f t="shared" ref="Q4:Q167" si="5">C4</f>
        <v>10*15</v>
      </c>
      <c r="R4" s="50">
        <v>1.0</v>
      </c>
      <c r="S4" s="51">
        <v>0.0</v>
      </c>
      <c r="T4" s="51">
        <v>1.0</v>
      </c>
      <c r="U4" s="51">
        <v>0.0</v>
      </c>
      <c r="V4" s="39" t="s">
        <v>43</v>
      </c>
      <c r="W4" s="47" t="str">
        <f t="shared" ref="W4:W167" si="6">CONCATENATE(P4 , " - " , C4 , " - " , V4 , " - " , AD4)</f>
        <v>BLANC - 10*15 - PAS DE REHAUSSE - (Largeur 25mm Profondeur 15mm)</v>
      </c>
      <c r="X4" s="50">
        <v>0.0</v>
      </c>
      <c r="Y4" s="52" t="s">
        <v>44</v>
      </c>
      <c r="Z4" s="47" t="str">
        <f t="shared" ref="Z4:Z167" si="7">CONCATENATE(B4," ",C4," ",Y4)</f>
        <v>MARA 25 BLANC 10*15 VERRE</v>
      </c>
      <c r="AA4" s="39" t="s">
        <v>45</v>
      </c>
      <c r="AB4" s="39" t="s">
        <v>46</v>
      </c>
      <c r="AC4" s="47" t="str">
        <f t="shared" ref="AC4:AC167" si="8">Z4</f>
        <v>MARA 25 BLANC 10*15 VERRE</v>
      </c>
      <c r="AD4" s="39" t="s">
        <v>47</v>
      </c>
      <c r="AE4" s="39" t="str">
        <f t="shared" ref="AE4:AE167" si="9">CONCATENATE(O4," "," ",C4," ",P4," ",Y4," ",V4," - ",N4," - ",AA4," - ",AB4," ",AD4)</f>
        <v>ROMY  10*15 BLANC VERRE PAS DE REHAUSSE - CADRES CLASSIQUES - Pas de passepartout - Dos classique sans chevalet (Largeur 25mm Profondeur 15mm)</v>
      </c>
      <c r="AF4" s="39" t="str">
        <f t="shared" si="1"/>
        <v>ROMY  10*15 BLANC VERRE PAS DE REHAUSSE - CADRES CLASSIQUES - Pas de passepartout - Dos classique sans chevalet (Largeur 25mm Profondeur 15mm)</v>
      </c>
      <c r="AG4" s="53">
        <f t="shared" ref="AG4:AG167" si="10">$AG$3*H4</f>
        <v>4.628217026</v>
      </c>
      <c r="AH4" s="39"/>
      <c r="AI4" s="39"/>
      <c r="AJ4" s="39"/>
      <c r="AK4" s="39"/>
      <c r="AL4" s="39"/>
      <c r="AM4" s="39"/>
      <c r="AN4" s="39"/>
      <c r="AO4" s="39"/>
      <c r="AP4" s="39"/>
    </row>
    <row r="5" ht="15.75" customHeight="1">
      <c r="A5" s="39">
        <v>1016.0</v>
      </c>
      <c r="B5" s="40" t="s">
        <v>36</v>
      </c>
      <c r="C5" s="41" t="s">
        <v>37</v>
      </c>
      <c r="D5" s="42" t="s">
        <v>48</v>
      </c>
      <c r="E5" s="43">
        <v>345707.0</v>
      </c>
      <c r="F5" s="44" t="s">
        <v>38</v>
      </c>
      <c r="G5" s="45">
        <v>7.0</v>
      </c>
      <c r="H5" s="54">
        <v>2.571231680997874</v>
      </c>
      <c r="I5" s="47" t="s">
        <v>39</v>
      </c>
      <c r="J5" s="39" t="str">
        <f t="shared" si="2"/>
        <v>069644DC - MARA 25</v>
      </c>
      <c r="K5" s="47">
        <f t="shared" si="3"/>
        <v>4.7815</v>
      </c>
      <c r="L5" s="48">
        <v>2.62</v>
      </c>
      <c r="M5" s="49">
        <f t="shared" si="4"/>
        <v>4.7815</v>
      </c>
      <c r="N5" s="39" t="s">
        <v>40</v>
      </c>
      <c r="O5" s="39" t="s">
        <v>41</v>
      </c>
      <c r="P5" s="39" t="s">
        <v>42</v>
      </c>
      <c r="Q5" s="47" t="str">
        <f t="shared" si="5"/>
        <v>10*15</v>
      </c>
      <c r="R5" s="50">
        <v>1.0</v>
      </c>
      <c r="S5" s="51">
        <v>0.0</v>
      </c>
      <c r="T5" s="51">
        <v>1.0</v>
      </c>
      <c r="U5" s="51">
        <v>1.0</v>
      </c>
      <c r="V5" s="39" t="s">
        <v>43</v>
      </c>
      <c r="W5" s="47" t="str">
        <f t="shared" si="6"/>
        <v>BLANC - 10*15 - PAS DE REHAUSSE - (Largeur 25mm Profondeur 15mm)</v>
      </c>
      <c r="X5" s="50">
        <v>0.0</v>
      </c>
      <c r="Y5" s="52" t="s">
        <v>44</v>
      </c>
      <c r="Z5" s="47" t="str">
        <f t="shared" si="7"/>
        <v>MARA 25 BLANC 10*15 VERRE</v>
      </c>
      <c r="AA5" s="39" t="s">
        <v>45</v>
      </c>
      <c r="AB5" s="39" t="s">
        <v>49</v>
      </c>
      <c r="AC5" s="47" t="str">
        <f t="shared" si="8"/>
        <v>MARA 25 BLANC 10*15 VERRE</v>
      </c>
      <c r="AD5" s="39" t="s">
        <v>47</v>
      </c>
      <c r="AE5" s="39" t="str">
        <f t="shared" si="9"/>
        <v>ROMY  10*15 BLANC VERRE PAS DE REHAUSSE - CADRES CLASSIQUES - Pas de passepartout - DOS AVEC CHEVALET (Largeur 25mm Profondeur 15mm)</v>
      </c>
      <c r="AF5" s="39" t="str">
        <f t="shared" si="1"/>
        <v>ROMY  10*15 BLANC VERRE PAS DE REHAUSSE - CADRES CLASSIQUES - Pas de passepartout - DOS AVEC CHEVALET (Largeur 25mm Profondeur 15mm)</v>
      </c>
      <c r="AG5" s="53">
        <f t="shared" si="10"/>
        <v>4.628217026</v>
      </c>
      <c r="AH5" s="39"/>
      <c r="AI5" s="39"/>
      <c r="AJ5" s="39"/>
      <c r="AK5" s="39"/>
      <c r="AL5" s="39"/>
      <c r="AM5" s="39"/>
      <c r="AN5" s="39"/>
      <c r="AO5" s="39"/>
      <c r="AP5" s="39"/>
    </row>
    <row r="6" ht="15.75" customHeight="1">
      <c r="A6" s="39">
        <v>1017.0</v>
      </c>
      <c r="B6" s="40" t="s">
        <v>36</v>
      </c>
      <c r="C6" s="41" t="s">
        <v>50</v>
      </c>
      <c r="D6" s="42" t="s">
        <v>51</v>
      </c>
      <c r="E6" s="43">
        <v>345707.0</v>
      </c>
      <c r="F6" s="44" t="s">
        <v>51</v>
      </c>
      <c r="G6" s="45">
        <v>4.0</v>
      </c>
      <c r="H6" s="54">
        <v>2.3393166666333602</v>
      </c>
      <c r="I6" s="47" t="s">
        <v>39</v>
      </c>
      <c r="J6" s="39" t="str">
        <f t="shared" si="2"/>
        <v>069645 - MARA 25</v>
      </c>
      <c r="K6" s="47">
        <f t="shared" si="3"/>
        <v>4.3435</v>
      </c>
      <c r="L6" s="48">
        <v>2.38</v>
      </c>
      <c r="M6" s="49">
        <f t="shared" si="4"/>
        <v>4.3435</v>
      </c>
      <c r="N6" s="39" t="s">
        <v>40</v>
      </c>
      <c r="O6" s="39" t="s">
        <v>41</v>
      </c>
      <c r="P6" s="39" t="s">
        <v>42</v>
      </c>
      <c r="Q6" s="47" t="str">
        <f t="shared" si="5"/>
        <v>11*11</v>
      </c>
      <c r="R6" s="50">
        <v>1.0</v>
      </c>
      <c r="S6" s="51">
        <v>0.0</v>
      </c>
      <c r="T6" s="51">
        <v>0.0</v>
      </c>
      <c r="U6" s="51">
        <v>0.0</v>
      </c>
      <c r="V6" s="39" t="s">
        <v>43</v>
      </c>
      <c r="W6" s="47" t="str">
        <f t="shared" si="6"/>
        <v>BLANC - 11*11 - PAS DE REHAUSSE - (Largeur 25mm Profondeur 15mm)</v>
      </c>
      <c r="X6" s="50">
        <v>0.0</v>
      </c>
      <c r="Y6" s="52" t="s">
        <v>44</v>
      </c>
      <c r="Z6" s="47" t="str">
        <f t="shared" si="7"/>
        <v>MARA 25 BLANC 11*11 VERRE</v>
      </c>
      <c r="AA6" s="39" t="s">
        <v>45</v>
      </c>
      <c r="AB6" s="39" t="s">
        <v>46</v>
      </c>
      <c r="AC6" s="47" t="str">
        <f t="shared" si="8"/>
        <v>MARA 25 BLANC 11*11 VERRE</v>
      </c>
      <c r="AD6" s="39" t="s">
        <v>47</v>
      </c>
      <c r="AE6" s="39" t="str">
        <f t="shared" si="9"/>
        <v>ROMY  11*11 BLANC VERRE PAS DE REHAUSSE - CADRES CLASSIQUES - Pas de passepartout - Dos classique sans chevalet (Largeur 25mm Profondeur 15mm)</v>
      </c>
      <c r="AF6" s="39" t="str">
        <f t="shared" si="1"/>
        <v>ROMY  11*11 BLANC VERRE PAS DE REHAUSSE - CADRES CLASSIQUES - Pas de passepartout - Dos classique sans chevalet (Largeur 25mm Profondeur 15mm)</v>
      </c>
      <c r="AG6" s="53">
        <f t="shared" si="10"/>
        <v>4.21077</v>
      </c>
      <c r="AH6" s="39"/>
      <c r="AI6" s="39"/>
      <c r="AJ6" s="39"/>
      <c r="AK6" s="39"/>
      <c r="AL6" s="39"/>
      <c r="AM6" s="39"/>
      <c r="AN6" s="39"/>
      <c r="AO6" s="39"/>
      <c r="AP6" s="39"/>
    </row>
    <row r="7" ht="15.75" customHeight="1">
      <c r="A7" s="39">
        <v>1018.0</v>
      </c>
      <c r="B7" s="40" t="s">
        <v>36</v>
      </c>
      <c r="C7" s="41" t="s">
        <v>52</v>
      </c>
      <c r="D7" s="42" t="s">
        <v>53</v>
      </c>
      <c r="E7" s="43">
        <v>345707.0</v>
      </c>
      <c r="F7" s="44" t="s">
        <v>53</v>
      </c>
      <c r="G7" s="45">
        <v>8.0</v>
      </c>
      <c r="H7" s="54">
        <v>2.9760026066899763</v>
      </c>
      <c r="I7" s="47" t="s">
        <v>39</v>
      </c>
      <c r="J7" s="39" t="str">
        <f t="shared" si="2"/>
        <v>069647 - MARA 25</v>
      </c>
      <c r="K7" s="47">
        <f t="shared" si="3"/>
        <v>5.52975</v>
      </c>
      <c r="L7" s="48">
        <v>3.03</v>
      </c>
      <c r="M7" s="49">
        <f t="shared" si="4"/>
        <v>5.52975</v>
      </c>
      <c r="N7" s="39" t="s">
        <v>40</v>
      </c>
      <c r="O7" s="39" t="s">
        <v>41</v>
      </c>
      <c r="P7" s="39" t="s">
        <v>42</v>
      </c>
      <c r="Q7" s="47" t="str">
        <f t="shared" si="5"/>
        <v>13*18</v>
      </c>
      <c r="R7" s="50">
        <v>1.0</v>
      </c>
      <c r="S7" s="51">
        <v>0.0</v>
      </c>
      <c r="T7" s="51">
        <v>1.0</v>
      </c>
      <c r="U7" s="51">
        <v>0.0</v>
      </c>
      <c r="V7" s="39" t="s">
        <v>43</v>
      </c>
      <c r="W7" s="47" t="str">
        <f t="shared" si="6"/>
        <v>BLANC - 13*18 - PAS DE REHAUSSE - (Largeur 25mm Profondeur 15mm)</v>
      </c>
      <c r="X7" s="50">
        <v>0.0</v>
      </c>
      <c r="Y7" s="52" t="s">
        <v>44</v>
      </c>
      <c r="Z7" s="47" t="str">
        <f t="shared" si="7"/>
        <v>MARA 25 BLANC 13*18 VERRE</v>
      </c>
      <c r="AA7" s="39" t="s">
        <v>45</v>
      </c>
      <c r="AB7" s="39" t="s">
        <v>46</v>
      </c>
      <c r="AC7" s="47" t="str">
        <f t="shared" si="8"/>
        <v>MARA 25 BLANC 13*18 VERRE</v>
      </c>
      <c r="AD7" s="39" t="s">
        <v>47</v>
      </c>
      <c r="AE7" s="39" t="str">
        <f t="shared" si="9"/>
        <v>ROMY  13*18 BLANC VERRE PAS DE REHAUSSE - CADRES CLASSIQUES - Pas de passepartout - Dos classique sans chevalet (Largeur 25mm Profondeur 15mm)</v>
      </c>
      <c r="AF7" s="39" t="str">
        <f t="shared" si="1"/>
        <v>ROMY  13*18 BLANC VERRE PAS DE REHAUSSE - CADRES CLASSIQUES - Pas de passepartout - Dos classique sans chevalet (Largeur 25mm Profondeur 15mm)</v>
      </c>
      <c r="AG7" s="53">
        <f t="shared" si="10"/>
        <v>5.356804692</v>
      </c>
      <c r="AH7" s="39"/>
      <c r="AI7" s="39"/>
      <c r="AJ7" s="39"/>
      <c r="AK7" s="39"/>
      <c r="AL7" s="39"/>
      <c r="AM7" s="39"/>
      <c r="AN7" s="39"/>
      <c r="AO7" s="39"/>
      <c r="AP7" s="39"/>
    </row>
    <row r="8" ht="15.75" customHeight="1">
      <c r="A8" s="39">
        <v>1018.0</v>
      </c>
      <c r="B8" s="40" t="s">
        <v>36</v>
      </c>
      <c r="C8" s="41" t="s">
        <v>52</v>
      </c>
      <c r="D8" s="42" t="s">
        <v>54</v>
      </c>
      <c r="E8" s="43">
        <v>345707.0</v>
      </c>
      <c r="F8" s="44" t="s">
        <v>53</v>
      </c>
      <c r="G8" s="45">
        <v>8.0</v>
      </c>
      <c r="H8" s="54">
        <v>2.9760026066899763</v>
      </c>
      <c r="I8" s="47" t="s">
        <v>39</v>
      </c>
      <c r="J8" s="39" t="str">
        <f t="shared" si="2"/>
        <v>069647DC - MARA 25</v>
      </c>
      <c r="K8" s="47">
        <f t="shared" si="3"/>
        <v>5.52975</v>
      </c>
      <c r="L8" s="48">
        <v>3.03</v>
      </c>
      <c r="M8" s="49">
        <f t="shared" si="4"/>
        <v>5.52975</v>
      </c>
      <c r="N8" s="39" t="s">
        <v>40</v>
      </c>
      <c r="O8" s="39" t="s">
        <v>41</v>
      </c>
      <c r="P8" s="39" t="s">
        <v>42</v>
      </c>
      <c r="Q8" s="47" t="str">
        <f t="shared" si="5"/>
        <v>13*18</v>
      </c>
      <c r="R8" s="50">
        <v>1.0</v>
      </c>
      <c r="S8" s="51">
        <v>0.0</v>
      </c>
      <c r="T8" s="51">
        <v>1.0</v>
      </c>
      <c r="U8" s="51">
        <v>1.0</v>
      </c>
      <c r="V8" s="39" t="s">
        <v>43</v>
      </c>
      <c r="W8" s="47" t="str">
        <f t="shared" si="6"/>
        <v>BLANC - 13*18 - PAS DE REHAUSSE - (Largeur 25mm Profondeur 15mm)</v>
      </c>
      <c r="X8" s="50">
        <v>0.0</v>
      </c>
      <c r="Y8" s="52" t="s">
        <v>44</v>
      </c>
      <c r="Z8" s="47" t="str">
        <f t="shared" si="7"/>
        <v>MARA 25 BLANC 13*18 VERRE</v>
      </c>
      <c r="AA8" s="39" t="s">
        <v>45</v>
      </c>
      <c r="AB8" s="39" t="s">
        <v>49</v>
      </c>
      <c r="AC8" s="47" t="str">
        <f t="shared" si="8"/>
        <v>MARA 25 BLANC 13*18 VERRE</v>
      </c>
      <c r="AD8" s="39" t="s">
        <v>47</v>
      </c>
      <c r="AE8" s="39" t="str">
        <f t="shared" si="9"/>
        <v>ROMY  13*18 BLANC VERRE PAS DE REHAUSSE - CADRES CLASSIQUES - Pas de passepartout - DOS AVEC CHEVALET (Largeur 25mm Profondeur 15mm)</v>
      </c>
      <c r="AF8" s="39" t="str">
        <f t="shared" si="1"/>
        <v>ROMY  13*18 BLANC VERRE PAS DE REHAUSSE - CADRES CLASSIQUES - Pas de passepartout - DOS AVEC CHEVALET (Largeur 25mm Profondeur 15mm)</v>
      </c>
      <c r="AG8" s="53">
        <f t="shared" si="10"/>
        <v>5.356804692</v>
      </c>
      <c r="AH8" s="39"/>
      <c r="AI8" s="39"/>
      <c r="AJ8" s="39"/>
      <c r="AK8" s="39"/>
      <c r="AL8" s="39"/>
      <c r="AM8" s="39"/>
      <c r="AN8" s="39"/>
      <c r="AO8" s="39"/>
      <c r="AP8" s="39"/>
    </row>
    <row r="9" ht="15.75" customHeight="1">
      <c r="A9" s="39">
        <v>1019.0</v>
      </c>
      <c r="B9" s="40" t="s">
        <v>36</v>
      </c>
      <c r="C9" s="41" t="s">
        <v>55</v>
      </c>
      <c r="D9" s="42" t="s">
        <v>56</v>
      </c>
      <c r="E9" s="43">
        <v>345707.0</v>
      </c>
      <c r="F9" s="44" t="s">
        <v>56</v>
      </c>
      <c r="G9" s="45">
        <v>2.0</v>
      </c>
      <c r="H9" s="54">
        <v>2.7786587745909794</v>
      </c>
      <c r="I9" s="47" t="s">
        <v>39</v>
      </c>
      <c r="J9" s="39" t="str">
        <f t="shared" si="2"/>
        <v>069649 - MARA 25</v>
      </c>
      <c r="K9" s="47">
        <f t="shared" si="3"/>
        <v>5.16475</v>
      </c>
      <c r="L9" s="48">
        <v>2.83</v>
      </c>
      <c r="M9" s="49">
        <f t="shared" si="4"/>
        <v>5.16475</v>
      </c>
      <c r="N9" s="39" t="s">
        <v>40</v>
      </c>
      <c r="O9" s="39" t="s">
        <v>41</v>
      </c>
      <c r="P9" s="39" t="s">
        <v>42</v>
      </c>
      <c r="Q9" s="47" t="str">
        <f t="shared" si="5"/>
        <v>14*14</v>
      </c>
      <c r="R9" s="50">
        <v>1.0</v>
      </c>
      <c r="S9" s="51">
        <v>0.0</v>
      </c>
      <c r="T9" s="51">
        <v>0.0</v>
      </c>
      <c r="U9" s="51">
        <v>0.0</v>
      </c>
      <c r="V9" s="39" t="s">
        <v>43</v>
      </c>
      <c r="W9" s="47" t="str">
        <f t="shared" si="6"/>
        <v>BLANC - 14*14 - PAS DE REHAUSSE - (Largeur 25mm Profondeur 15mm)</v>
      </c>
      <c r="X9" s="50">
        <v>0.0</v>
      </c>
      <c r="Y9" s="52" t="s">
        <v>44</v>
      </c>
      <c r="Z9" s="47" t="str">
        <f t="shared" si="7"/>
        <v>MARA 25 BLANC 14*14 VERRE</v>
      </c>
      <c r="AA9" s="39" t="s">
        <v>45</v>
      </c>
      <c r="AB9" s="39" t="s">
        <v>46</v>
      </c>
      <c r="AC9" s="47" t="str">
        <f t="shared" si="8"/>
        <v>MARA 25 BLANC 14*14 VERRE</v>
      </c>
      <c r="AD9" s="39" t="s">
        <v>47</v>
      </c>
      <c r="AE9" s="39" t="str">
        <f t="shared" si="9"/>
        <v>ROMY  14*14 BLANC VERRE PAS DE REHAUSSE - CADRES CLASSIQUES - Pas de passepartout - Dos classique sans chevalet (Largeur 25mm Profondeur 15mm)</v>
      </c>
      <c r="AF9" s="39" t="str">
        <f t="shared" si="1"/>
        <v>ROMY  14*14 BLANC VERRE PAS DE REHAUSSE - CADRES CLASSIQUES - Pas de passepartout - Dos classique sans chevalet (Largeur 25mm Profondeur 15mm)</v>
      </c>
      <c r="AG9" s="53">
        <f t="shared" si="10"/>
        <v>5.001585794</v>
      </c>
      <c r="AH9" s="39"/>
      <c r="AI9" s="39"/>
      <c r="AJ9" s="39"/>
      <c r="AK9" s="39"/>
      <c r="AL9" s="39"/>
      <c r="AM9" s="39"/>
      <c r="AN9" s="39"/>
      <c r="AO9" s="39"/>
      <c r="AP9" s="39"/>
    </row>
    <row r="10" ht="15.75" customHeight="1">
      <c r="A10" s="39">
        <v>1020.0</v>
      </c>
      <c r="B10" s="40" t="s">
        <v>36</v>
      </c>
      <c r="C10" s="41" t="s">
        <v>57</v>
      </c>
      <c r="D10" s="42" t="s">
        <v>58</v>
      </c>
      <c r="E10" s="43">
        <v>345707.0</v>
      </c>
      <c r="F10" s="44" t="s">
        <v>58</v>
      </c>
      <c r="G10" s="45">
        <v>1.0</v>
      </c>
      <c r="H10" s="54">
        <v>3.4104</v>
      </c>
      <c r="I10" s="47" t="s">
        <v>39</v>
      </c>
      <c r="J10" s="39" t="str">
        <f t="shared" si="2"/>
        <v>054217 - MARA 25</v>
      </c>
      <c r="K10" s="47">
        <f t="shared" si="3"/>
        <v>6.351</v>
      </c>
      <c r="L10" s="48">
        <v>3.48</v>
      </c>
      <c r="M10" s="49">
        <f t="shared" si="4"/>
        <v>6.351</v>
      </c>
      <c r="N10" s="39" t="s">
        <v>40</v>
      </c>
      <c r="O10" s="39" t="s">
        <v>41</v>
      </c>
      <c r="P10" s="39" t="s">
        <v>42</v>
      </c>
      <c r="Q10" s="47" t="str">
        <f t="shared" si="5"/>
        <v>15*20</v>
      </c>
      <c r="R10" s="50">
        <v>1.0</v>
      </c>
      <c r="S10" s="51">
        <v>0.0</v>
      </c>
      <c r="T10" s="51">
        <v>0.0</v>
      </c>
      <c r="U10" s="51">
        <v>0.0</v>
      </c>
      <c r="V10" s="39" t="s">
        <v>43</v>
      </c>
      <c r="W10" s="47" t="str">
        <f t="shared" si="6"/>
        <v>BLANC - 15*20 - PAS DE REHAUSSE - (Largeur 25mm Profondeur 15mm)</v>
      </c>
      <c r="X10" s="50">
        <v>0.0</v>
      </c>
      <c r="Y10" s="52" t="s">
        <v>44</v>
      </c>
      <c r="Z10" s="47" t="str">
        <f t="shared" si="7"/>
        <v>MARA 25 BLANC 15*20 VERRE</v>
      </c>
      <c r="AA10" s="39" t="s">
        <v>45</v>
      </c>
      <c r="AB10" s="39" t="s">
        <v>46</v>
      </c>
      <c r="AC10" s="47" t="str">
        <f t="shared" si="8"/>
        <v>MARA 25 BLANC 15*20 VERRE</v>
      </c>
      <c r="AD10" s="39" t="s">
        <v>47</v>
      </c>
      <c r="AE10" s="39" t="str">
        <f t="shared" si="9"/>
        <v>ROMY  15*20 BLANC VERRE PAS DE REHAUSSE - CADRES CLASSIQUES - Pas de passepartout - Dos classique sans chevalet (Largeur 25mm Profondeur 15mm)</v>
      </c>
      <c r="AF10" s="39" t="str">
        <f t="shared" si="1"/>
        <v>ROMY  15*20 BLANC VERRE PAS DE REHAUSSE - CADRES CLASSIQUES - Pas de passepartout - Dos classique sans chevalet (Largeur 25mm Profondeur 15mm)</v>
      </c>
      <c r="AG10" s="53">
        <f t="shared" si="10"/>
        <v>6.13872</v>
      </c>
      <c r="AH10" s="39"/>
      <c r="AI10" s="39"/>
      <c r="AJ10" s="39"/>
      <c r="AK10" s="39"/>
      <c r="AL10" s="39"/>
      <c r="AM10" s="39"/>
      <c r="AN10" s="39"/>
      <c r="AO10" s="39"/>
      <c r="AP10" s="39"/>
    </row>
    <row r="11" ht="15.75" customHeight="1">
      <c r="A11" s="39">
        <v>1021.0</v>
      </c>
      <c r="B11" s="40" t="s">
        <v>36</v>
      </c>
      <c r="C11" s="41" t="s">
        <v>59</v>
      </c>
      <c r="D11" s="42" t="s">
        <v>60</v>
      </c>
      <c r="E11" s="43">
        <v>345707.0</v>
      </c>
      <c r="F11" s="44" t="s">
        <v>60</v>
      </c>
      <c r="G11" s="45">
        <v>8.0</v>
      </c>
      <c r="H11" s="54">
        <v>3.411023316864407</v>
      </c>
      <c r="I11" s="47" t="s">
        <v>39</v>
      </c>
      <c r="J11" s="39" t="str">
        <f t="shared" si="2"/>
        <v>069650 - MARA 25</v>
      </c>
      <c r="K11" s="47">
        <f t="shared" si="3"/>
        <v>6.351</v>
      </c>
      <c r="L11" s="48">
        <v>3.48</v>
      </c>
      <c r="M11" s="49">
        <f t="shared" si="4"/>
        <v>6.351</v>
      </c>
      <c r="N11" s="39" t="s">
        <v>40</v>
      </c>
      <c r="O11" s="39" t="s">
        <v>41</v>
      </c>
      <c r="P11" s="39" t="s">
        <v>42</v>
      </c>
      <c r="Q11" s="47" t="str">
        <f t="shared" si="5"/>
        <v>15*21</v>
      </c>
      <c r="R11" s="50">
        <v>1.0</v>
      </c>
      <c r="S11" s="51">
        <v>0.0</v>
      </c>
      <c r="T11" s="51">
        <v>1.0</v>
      </c>
      <c r="U11" s="51">
        <v>0.0</v>
      </c>
      <c r="V11" s="39" t="s">
        <v>43</v>
      </c>
      <c r="W11" s="47" t="str">
        <f t="shared" si="6"/>
        <v>BLANC - 15*21 - PAS DE REHAUSSE - (Largeur 25mm Profondeur 15mm)</v>
      </c>
      <c r="X11" s="50">
        <v>0.0</v>
      </c>
      <c r="Y11" s="52" t="s">
        <v>44</v>
      </c>
      <c r="Z11" s="47" t="str">
        <f t="shared" si="7"/>
        <v>MARA 25 BLANC 15*21 VERRE</v>
      </c>
      <c r="AA11" s="39" t="s">
        <v>45</v>
      </c>
      <c r="AB11" s="39" t="s">
        <v>46</v>
      </c>
      <c r="AC11" s="47" t="str">
        <f t="shared" si="8"/>
        <v>MARA 25 BLANC 15*21 VERRE</v>
      </c>
      <c r="AD11" s="39" t="s">
        <v>47</v>
      </c>
      <c r="AE11" s="39" t="str">
        <f t="shared" si="9"/>
        <v>ROMY  15*21 BLANC VERRE PAS DE REHAUSSE - CADRES CLASSIQUES - Pas de passepartout - Dos classique sans chevalet (Largeur 25mm Profondeur 15mm)</v>
      </c>
      <c r="AF11" s="39" t="str">
        <f t="shared" si="1"/>
        <v>ROMY  15*21 BLANC VERRE PAS DE REHAUSSE - CADRES CLASSIQUES - Pas de passepartout - Dos classique sans chevalet (Largeur 25mm Profondeur 15mm)</v>
      </c>
      <c r="AG11" s="53">
        <f t="shared" si="10"/>
        <v>6.13984197</v>
      </c>
      <c r="AH11" s="39"/>
      <c r="AI11" s="39"/>
      <c r="AJ11" s="39"/>
      <c r="AK11" s="39"/>
      <c r="AL11" s="39"/>
      <c r="AM11" s="39"/>
      <c r="AN11" s="39"/>
      <c r="AO11" s="39"/>
      <c r="AP11" s="39"/>
    </row>
    <row r="12" ht="15.75" customHeight="1">
      <c r="A12" s="39">
        <v>1021.0</v>
      </c>
      <c r="B12" s="40" t="s">
        <v>36</v>
      </c>
      <c r="C12" s="41" t="s">
        <v>59</v>
      </c>
      <c r="D12" s="42" t="s">
        <v>61</v>
      </c>
      <c r="E12" s="43">
        <v>345707.0</v>
      </c>
      <c r="F12" s="44" t="s">
        <v>60</v>
      </c>
      <c r="G12" s="45">
        <v>8.0</v>
      </c>
      <c r="H12" s="54">
        <v>3.411023316864407</v>
      </c>
      <c r="I12" s="47" t="s">
        <v>39</v>
      </c>
      <c r="J12" s="39" t="str">
        <f t="shared" si="2"/>
        <v>069650DC - MARA 25</v>
      </c>
      <c r="K12" s="47">
        <f t="shared" si="3"/>
        <v>6.351</v>
      </c>
      <c r="L12" s="48">
        <v>3.48</v>
      </c>
      <c r="M12" s="49">
        <f t="shared" si="4"/>
        <v>6.351</v>
      </c>
      <c r="N12" s="39" t="s">
        <v>40</v>
      </c>
      <c r="O12" s="39" t="s">
        <v>41</v>
      </c>
      <c r="P12" s="39" t="s">
        <v>42</v>
      </c>
      <c r="Q12" s="47" t="str">
        <f t="shared" si="5"/>
        <v>15*21</v>
      </c>
      <c r="R12" s="50">
        <v>1.0</v>
      </c>
      <c r="S12" s="51">
        <v>0.0</v>
      </c>
      <c r="T12" s="51">
        <v>1.0</v>
      </c>
      <c r="U12" s="51">
        <v>1.0</v>
      </c>
      <c r="V12" s="39" t="s">
        <v>43</v>
      </c>
      <c r="W12" s="47" t="str">
        <f t="shared" si="6"/>
        <v>BLANC - 15*21 - PAS DE REHAUSSE - (Largeur 25mm Profondeur 15mm)</v>
      </c>
      <c r="X12" s="50">
        <v>0.0</v>
      </c>
      <c r="Y12" s="52" t="s">
        <v>44</v>
      </c>
      <c r="Z12" s="47" t="str">
        <f t="shared" si="7"/>
        <v>MARA 25 BLANC 15*21 VERRE</v>
      </c>
      <c r="AA12" s="39" t="s">
        <v>45</v>
      </c>
      <c r="AB12" s="39" t="s">
        <v>49</v>
      </c>
      <c r="AC12" s="47" t="str">
        <f t="shared" si="8"/>
        <v>MARA 25 BLANC 15*21 VERRE</v>
      </c>
      <c r="AD12" s="39" t="s">
        <v>47</v>
      </c>
      <c r="AE12" s="39" t="str">
        <f t="shared" si="9"/>
        <v>ROMY  15*21 BLANC VERRE PAS DE REHAUSSE - CADRES CLASSIQUES - Pas de passepartout - DOS AVEC CHEVALET (Largeur 25mm Profondeur 15mm)</v>
      </c>
      <c r="AF12" s="39" t="str">
        <f t="shared" si="1"/>
        <v>ROMY  15*21 BLANC VERRE PAS DE REHAUSSE - CADRES CLASSIQUES - Pas de passepartout - DOS AVEC CHEVALET (Largeur 25mm Profondeur 15mm)</v>
      </c>
      <c r="AG12" s="53">
        <f t="shared" si="10"/>
        <v>6.13984197</v>
      </c>
      <c r="AH12" s="39"/>
      <c r="AI12" s="39"/>
      <c r="AJ12" s="39"/>
      <c r="AK12" s="39"/>
      <c r="AL12" s="39"/>
      <c r="AM12" s="39"/>
      <c r="AN12" s="39"/>
      <c r="AO12" s="39"/>
      <c r="AP12" s="39"/>
    </row>
    <row r="13" ht="15.75" customHeight="1">
      <c r="A13" s="39">
        <v>1022.0</v>
      </c>
      <c r="B13" s="40" t="s">
        <v>36</v>
      </c>
      <c r="C13" s="41" t="s">
        <v>62</v>
      </c>
      <c r="D13" s="42" t="s">
        <v>63</v>
      </c>
      <c r="E13" s="43">
        <v>345707.0</v>
      </c>
      <c r="F13" s="44" t="s">
        <v>63</v>
      </c>
      <c r="G13" s="45">
        <v>5.0</v>
      </c>
      <c r="H13" s="54">
        <v>3.9151863915698706</v>
      </c>
      <c r="I13" s="47" t="s">
        <v>39</v>
      </c>
      <c r="J13" s="39" t="str">
        <f t="shared" si="2"/>
        <v>069651 - MARA 25</v>
      </c>
      <c r="K13" s="47">
        <f t="shared" si="3"/>
        <v>7.28175</v>
      </c>
      <c r="L13" s="48">
        <v>3.99</v>
      </c>
      <c r="M13" s="49">
        <f t="shared" si="4"/>
        <v>7.28175</v>
      </c>
      <c r="N13" s="39" t="s">
        <v>40</v>
      </c>
      <c r="O13" s="39" t="s">
        <v>41</v>
      </c>
      <c r="P13" s="39" t="s">
        <v>42</v>
      </c>
      <c r="Q13" s="47" t="str">
        <f t="shared" si="5"/>
        <v>18*24</v>
      </c>
      <c r="R13" s="50">
        <v>1.0</v>
      </c>
      <c r="S13" s="51">
        <v>0.0</v>
      </c>
      <c r="T13" s="51">
        <v>1.0</v>
      </c>
      <c r="U13" s="51">
        <v>0.0</v>
      </c>
      <c r="V13" s="39" t="s">
        <v>43</v>
      </c>
      <c r="W13" s="47" t="str">
        <f t="shared" si="6"/>
        <v>BLANC - 18*24 - PAS DE REHAUSSE - (Largeur 25mm Profondeur 15mm)</v>
      </c>
      <c r="X13" s="50">
        <v>0.0</v>
      </c>
      <c r="Y13" s="52" t="s">
        <v>44</v>
      </c>
      <c r="Z13" s="47" t="str">
        <f t="shared" si="7"/>
        <v>MARA 25 BLANC 18*24 VERRE</v>
      </c>
      <c r="AA13" s="39" t="s">
        <v>45</v>
      </c>
      <c r="AB13" s="39" t="s">
        <v>46</v>
      </c>
      <c r="AC13" s="47" t="str">
        <f t="shared" si="8"/>
        <v>MARA 25 BLANC 18*24 VERRE</v>
      </c>
      <c r="AD13" s="39" t="s">
        <v>47</v>
      </c>
      <c r="AE13" s="39" t="str">
        <f t="shared" si="9"/>
        <v>ROMY  18*24 BLANC VERRE PAS DE REHAUSSE - CADRES CLASSIQUES - Pas de passepartout - Dos classique sans chevalet (Largeur 25mm Profondeur 15mm)</v>
      </c>
      <c r="AF13" s="39" t="str">
        <f t="shared" si="1"/>
        <v>ROMY  18*24 BLANC VERRE PAS DE REHAUSSE - CADRES CLASSIQUES - Pas de passepartout - Dos classique sans chevalet (Largeur 25mm Profondeur 15mm)</v>
      </c>
      <c r="AG13" s="53">
        <f t="shared" si="10"/>
        <v>7.047335505</v>
      </c>
      <c r="AH13" s="39"/>
      <c r="AI13" s="39"/>
      <c r="AJ13" s="39"/>
      <c r="AK13" s="39"/>
      <c r="AL13" s="39"/>
      <c r="AM13" s="39"/>
      <c r="AN13" s="39"/>
      <c r="AO13" s="39"/>
      <c r="AP13" s="39"/>
    </row>
    <row r="14" ht="15.75" customHeight="1">
      <c r="A14" s="39">
        <v>1022.0</v>
      </c>
      <c r="B14" s="40" t="s">
        <v>36</v>
      </c>
      <c r="C14" s="41" t="s">
        <v>62</v>
      </c>
      <c r="D14" s="42" t="s">
        <v>64</v>
      </c>
      <c r="E14" s="43">
        <v>345707.0</v>
      </c>
      <c r="F14" s="44" t="s">
        <v>63</v>
      </c>
      <c r="G14" s="45">
        <v>5.0</v>
      </c>
      <c r="H14" s="54">
        <v>3.9151863915698706</v>
      </c>
      <c r="I14" s="47" t="s">
        <v>39</v>
      </c>
      <c r="J14" s="39" t="str">
        <f t="shared" si="2"/>
        <v>069651DC - MARA 25</v>
      </c>
      <c r="K14" s="47">
        <f t="shared" si="3"/>
        <v>7.28175</v>
      </c>
      <c r="L14" s="48">
        <v>3.99</v>
      </c>
      <c r="M14" s="49">
        <f t="shared" si="4"/>
        <v>7.28175</v>
      </c>
      <c r="N14" s="39" t="s">
        <v>40</v>
      </c>
      <c r="O14" s="39" t="s">
        <v>41</v>
      </c>
      <c r="P14" s="39" t="s">
        <v>42</v>
      </c>
      <c r="Q14" s="47" t="str">
        <f t="shared" si="5"/>
        <v>18*24</v>
      </c>
      <c r="R14" s="50">
        <v>1.0</v>
      </c>
      <c r="S14" s="51">
        <v>0.0</v>
      </c>
      <c r="T14" s="51">
        <v>1.0</v>
      </c>
      <c r="U14" s="51">
        <v>1.0</v>
      </c>
      <c r="V14" s="39" t="s">
        <v>43</v>
      </c>
      <c r="W14" s="47" t="str">
        <f t="shared" si="6"/>
        <v>BLANC - 18*24 - PAS DE REHAUSSE - (Largeur 25mm Profondeur 15mm)</v>
      </c>
      <c r="X14" s="50">
        <v>0.0</v>
      </c>
      <c r="Y14" s="52" t="s">
        <v>44</v>
      </c>
      <c r="Z14" s="47" t="str">
        <f t="shared" si="7"/>
        <v>MARA 25 BLANC 18*24 VERRE</v>
      </c>
      <c r="AA14" s="39" t="s">
        <v>45</v>
      </c>
      <c r="AB14" s="39" t="s">
        <v>49</v>
      </c>
      <c r="AC14" s="47" t="str">
        <f t="shared" si="8"/>
        <v>MARA 25 BLANC 18*24 VERRE</v>
      </c>
      <c r="AD14" s="39" t="s">
        <v>47</v>
      </c>
      <c r="AE14" s="39" t="str">
        <f t="shared" si="9"/>
        <v>ROMY  18*24 BLANC VERRE PAS DE REHAUSSE - CADRES CLASSIQUES - Pas de passepartout - DOS AVEC CHEVALET (Largeur 25mm Profondeur 15mm)</v>
      </c>
      <c r="AF14" s="39" t="str">
        <f t="shared" si="1"/>
        <v>ROMY  18*24 BLANC VERRE PAS DE REHAUSSE - CADRES CLASSIQUES - Pas de passepartout - DOS AVEC CHEVALET (Largeur 25mm Profondeur 15mm)</v>
      </c>
      <c r="AG14" s="53">
        <f t="shared" si="10"/>
        <v>7.047335505</v>
      </c>
      <c r="AH14" s="39"/>
      <c r="AI14" s="39"/>
      <c r="AJ14" s="39"/>
      <c r="AK14" s="39"/>
      <c r="AL14" s="39"/>
      <c r="AM14" s="39"/>
      <c r="AN14" s="39"/>
      <c r="AO14" s="39"/>
      <c r="AP14" s="39"/>
    </row>
    <row r="15" ht="15.75" customHeight="1">
      <c r="A15" s="39">
        <v>1023.0</v>
      </c>
      <c r="B15" s="40" t="s">
        <v>36</v>
      </c>
      <c r="C15" s="41" t="s">
        <v>65</v>
      </c>
      <c r="D15" s="42" t="s">
        <v>66</v>
      </c>
      <c r="E15" s="43">
        <v>345707.0</v>
      </c>
      <c r="F15" s="44" t="s">
        <v>66</v>
      </c>
      <c r="G15" s="45">
        <v>2.0</v>
      </c>
      <c r="H15" s="54">
        <v>4.80539433490695</v>
      </c>
      <c r="I15" s="47" t="s">
        <v>39</v>
      </c>
      <c r="J15" s="39" t="str">
        <f t="shared" si="2"/>
        <v>069652 - MARA 25</v>
      </c>
      <c r="K15" s="47">
        <f t="shared" si="3"/>
        <v>8.9425</v>
      </c>
      <c r="L15" s="48">
        <v>4.9</v>
      </c>
      <c r="M15" s="49">
        <f t="shared" si="4"/>
        <v>8.9425</v>
      </c>
      <c r="N15" s="39" t="s">
        <v>40</v>
      </c>
      <c r="O15" s="39" t="s">
        <v>41</v>
      </c>
      <c r="P15" s="39" t="s">
        <v>42</v>
      </c>
      <c r="Q15" s="47" t="str">
        <f t="shared" si="5"/>
        <v>18*35</v>
      </c>
      <c r="R15" s="50">
        <v>1.0</v>
      </c>
      <c r="S15" s="51">
        <v>0.0</v>
      </c>
      <c r="T15" s="51">
        <v>0.0</v>
      </c>
      <c r="U15" s="51">
        <v>0.0</v>
      </c>
      <c r="V15" s="39" t="s">
        <v>43</v>
      </c>
      <c r="W15" s="47" t="str">
        <f t="shared" si="6"/>
        <v>BLANC - 18*35 - PAS DE REHAUSSE - (Largeur 25mm Profondeur 15mm)</v>
      </c>
      <c r="X15" s="50">
        <v>0.0</v>
      </c>
      <c r="Y15" s="52" t="s">
        <v>44</v>
      </c>
      <c r="Z15" s="47" t="str">
        <f t="shared" si="7"/>
        <v>MARA 25 BLANC 18*35 VERRE</v>
      </c>
      <c r="AA15" s="39" t="s">
        <v>45</v>
      </c>
      <c r="AB15" s="39" t="s">
        <v>46</v>
      </c>
      <c r="AC15" s="47" t="str">
        <f t="shared" si="8"/>
        <v>MARA 25 BLANC 18*35 VERRE</v>
      </c>
      <c r="AD15" s="39" t="s">
        <v>47</v>
      </c>
      <c r="AE15" s="39" t="str">
        <f t="shared" si="9"/>
        <v>ROMY  18*35 BLANC VERRE PAS DE REHAUSSE - CADRES CLASSIQUES - Pas de passepartout - Dos classique sans chevalet (Largeur 25mm Profondeur 15mm)</v>
      </c>
      <c r="AF15" s="39" t="str">
        <f t="shared" si="1"/>
        <v>ROMY  18*35 BLANC VERRE PAS DE REHAUSSE - CADRES CLASSIQUES - Pas de passepartout - Dos classique sans chevalet (Largeur 25mm Profondeur 15mm)</v>
      </c>
      <c r="AG15" s="53">
        <f t="shared" si="10"/>
        <v>8.649709803</v>
      </c>
      <c r="AH15" s="39"/>
      <c r="AI15" s="39"/>
      <c r="AJ15" s="39"/>
      <c r="AK15" s="39"/>
      <c r="AL15" s="39"/>
      <c r="AM15" s="39"/>
      <c r="AN15" s="39"/>
      <c r="AO15" s="39"/>
      <c r="AP15" s="39"/>
    </row>
    <row r="16" ht="15.75" customHeight="1">
      <c r="A16" s="39">
        <v>1024.0</v>
      </c>
      <c r="B16" s="40" t="s">
        <v>36</v>
      </c>
      <c r="C16" s="41" t="s">
        <v>67</v>
      </c>
      <c r="D16" s="42" t="s">
        <v>68</v>
      </c>
      <c r="E16" s="43">
        <v>345707.0</v>
      </c>
      <c r="F16" s="44" t="s">
        <v>68</v>
      </c>
      <c r="G16" s="45">
        <v>9.0</v>
      </c>
      <c r="H16" s="54">
        <v>3.758175605447312</v>
      </c>
      <c r="I16" s="47" t="s">
        <v>39</v>
      </c>
      <c r="J16" s="39" t="str">
        <f t="shared" si="2"/>
        <v>069653 - MARA 25</v>
      </c>
      <c r="K16" s="47">
        <f t="shared" si="3"/>
        <v>6.98975</v>
      </c>
      <c r="L16" s="48">
        <v>3.83</v>
      </c>
      <c r="M16" s="49">
        <f t="shared" si="4"/>
        <v>6.98975</v>
      </c>
      <c r="N16" s="39" t="s">
        <v>40</v>
      </c>
      <c r="O16" s="39" t="s">
        <v>41</v>
      </c>
      <c r="P16" s="39" t="s">
        <v>42</v>
      </c>
      <c r="Q16" s="47" t="str">
        <f t="shared" si="5"/>
        <v>20*20</v>
      </c>
      <c r="R16" s="50">
        <v>1.0</v>
      </c>
      <c r="S16" s="51">
        <v>0.0</v>
      </c>
      <c r="T16" s="51">
        <v>0.0</v>
      </c>
      <c r="U16" s="51">
        <v>0.0</v>
      </c>
      <c r="V16" s="39" t="s">
        <v>43</v>
      </c>
      <c r="W16" s="47" t="str">
        <f t="shared" si="6"/>
        <v>BLANC - 20*20 - PAS DE REHAUSSE - (Largeur 25mm Profondeur 15mm)</v>
      </c>
      <c r="X16" s="50">
        <v>0.0</v>
      </c>
      <c r="Y16" s="52" t="s">
        <v>44</v>
      </c>
      <c r="Z16" s="47" t="str">
        <f t="shared" si="7"/>
        <v>MARA 25 BLANC 20*20 VERRE</v>
      </c>
      <c r="AA16" s="39" t="s">
        <v>45</v>
      </c>
      <c r="AB16" s="39" t="s">
        <v>46</v>
      </c>
      <c r="AC16" s="47" t="str">
        <f t="shared" si="8"/>
        <v>MARA 25 BLANC 20*20 VERRE</v>
      </c>
      <c r="AD16" s="39" t="s">
        <v>47</v>
      </c>
      <c r="AE16" s="39" t="str">
        <f t="shared" si="9"/>
        <v>ROMY  20*20 BLANC VERRE PAS DE REHAUSSE - CADRES CLASSIQUES - Pas de passepartout - Dos classique sans chevalet (Largeur 25mm Profondeur 15mm)</v>
      </c>
      <c r="AF16" s="39" t="str">
        <f t="shared" si="1"/>
        <v>ROMY  20*20 BLANC VERRE PAS DE REHAUSSE - CADRES CLASSIQUES - Pas de passepartout - Dos classique sans chevalet (Largeur 25mm Profondeur 15mm)</v>
      </c>
      <c r="AG16" s="53">
        <f t="shared" si="10"/>
        <v>6.76471609</v>
      </c>
      <c r="AH16" s="39"/>
      <c r="AI16" s="39"/>
      <c r="AJ16" s="39"/>
      <c r="AK16" s="39"/>
      <c r="AL16" s="39"/>
      <c r="AM16" s="39"/>
      <c r="AN16" s="39"/>
      <c r="AO16" s="39"/>
      <c r="AP16" s="39"/>
    </row>
    <row r="17" ht="15.75" customHeight="1">
      <c r="A17" s="39">
        <v>1025.0</v>
      </c>
      <c r="B17" s="40" t="s">
        <v>36</v>
      </c>
      <c r="C17" s="41" t="s">
        <v>69</v>
      </c>
      <c r="D17" s="42" t="s">
        <v>70</v>
      </c>
      <c r="E17" s="43">
        <v>345707.0</v>
      </c>
      <c r="F17" s="44" t="s">
        <v>70</v>
      </c>
      <c r="G17" s="45">
        <v>6.0</v>
      </c>
      <c r="H17" s="54">
        <v>4.595086309458385</v>
      </c>
      <c r="I17" s="47" t="s">
        <v>39</v>
      </c>
      <c r="J17" s="39" t="str">
        <f t="shared" si="2"/>
        <v>069654 - MARA 25</v>
      </c>
      <c r="K17" s="47">
        <f t="shared" si="3"/>
        <v>8.541</v>
      </c>
      <c r="L17" s="48">
        <v>4.68</v>
      </c>
      <c r="M17" s="49">
        <f t="shared" si="4"/>
        <v>8.541</v>
      </c>
      <c r="N17" s="39" t="s">
        <v>40</v>
      </c>
      <c r="O17" s="39" t="s">
        <v>41</v>
      </c>
      <c r="P17" s="39" t="s">
        <v>42</v>
      </c>
      <c r="Q17" s="47" t="str">
        <f t="shared" si="5"/>
        <v>20*30</v>
      </c>
      <c r="R17" s="50">
        <v>1.0</v>
      </c>
      <c r="S17" s="51">
        <v>0.0</v>
      </c>
      <c r="T17" s="51">
        <v>1.0</v>
      </c>
      <c r="U17" s="51">
        <v>0.0</v>
      </c>
      <c r="V17" s="39" t="s">
        <v>43</v>
      </c>
      <c r="W17" s="47" t="str">
        <f t="shared" si="6"/>
        <v>BLANC - 20*30 - PAS DE REHAUSSE - (Largeur 25mm Profondeur 15mm)</v>
      </c>
      <c r="X17" s="50">
        <v>0.0</v>
      </c>
      <c r="Y17" s="52" t="s">
        <v>44</v>
      </c>
      <c r="Z17" s="47" t="str">
        <f t="shared" si="7"/>
        <v>MARA 25 BLANC 20*30 VERRE</v>
      </c>
      <c r="AA17" s="39" t="s">
        <v>45</v>
      </c>
      <c r="AB17" s="39" t="s">
        <v>46</v>
      </c>
      <c r="AC17" s="47" t="str">
        <f t="shared" si="8"/>
        <v>MARA 25 BLANC 20*30 VERRE</v>
      </c>
      <c r="AD17" s="39" t="s">
        <v>47</v>
      </c>
      <c r="AE17" s="39" t="str">
        <f t="shared" si="9"/>
        <v>ROMY  20*30 BLANC VERRE PAS DE REHAUSSE - CADRES CLASSIQUES - Pas de passepartout - Dos classique sans chevalet (Largeur 25mm Profondeur 15mm)</v>
      </c>
      <c r="AF17" s="39" t="str">
        <f t="shared" si="1"/>
        <v>ROMY  20*30 BLANC VERRE PAS DE REHAUSSE - CADRES CLASSIQUES - Pas de passepartout - Dos classique sans chevalet (Largeur 25mm Profondeur 15mm)</v>
      </c>
      <c r="AG17" s="53">
        <f t="shared" si="10"/>
        <v>8.271155357</v>
      </c>
      <c r="AH17" s="39"/>
      <c r="AI17" s="39"/>
      <c r="AJ17" s="39"/>
      <c r="AK17" s="39"/>
      <c r="AL17" s="39"/>
      <c r="AM17" s="39"/>
      <c r="AN17" s="39"/>
      <c r="AO17" s="39"/>
      <c r="AP17" s="39"/>
    </row>
    <row r="18" ht="15.75" customHeight="1">
      <c r="A18" s="39">
        <v>1025.0</v>
      </c>
      <c r="B18" s="40" t="s">
        <v>36</v>
      </c>
      <c r="C18" s="41" t="s">
        <v>69</v>
      </c>
      <c r="D18" s="42" t="s">
        <v>71</v>
      </c>
      <c r="E18" s="43">
        <v>345707.0</v>
      </c>
      <c r="F18" s="44" t="s">
        <v>70</v>
      </c>
      <c r="G18" s="45">
        <v>6.0</v>
      </c>
      <c r="H18" s="54">
        <v>4.595086309458385</v>
      </c>
      <c r="I18" s="47" t="s">
        <v>39</v>
      </c>
      <c r="J18" s="39" t="str">
        <f t="shared" si="2"/>
        <v>069654DC - MARA 25</v>
      </c>
      <c r="K18" s="47">
        <f t="shared" si="3"/>
        <v>8.541</v>
      </c>
      <c r="L18" s="48">
        <v>4.68</v>
      </c>
      <c r="M18" s="49">
        <f t="shared" si="4"/>
        <v>8.541</v>
      </c>
      <c r="N18" s="39" t="s">
        <v>40</v>
      </c>
      <c r="O18" s="39" t="s">
        <v>41</v>
      </c>
      <c r="P18" s="39" t="s">
        <v>42</v>
      </c>
      <c r="Q18" s="47" t="str">
        <f t="shared" si="5"/>
        <v>20*30</v>
      </c>
      <c r="R18" s="50">
        <v>1.0</v>
      </c>
      <c r="S18" s="51">
        <v>0.0</v>
      </c>
      <c r="T18" s="51">
        <v>1.0</v>
      </c>
      <c r="U18" s="51">
        <v>1.0</v>
      </c>
      <c r="V18" s="39" t="s">
        <v>43</v>
      </c>
      <c r="W18" s="47" t="str">
        <f t="shared" si="6"/>
        <v>BLANC - 20*30 - PAS DE REHAUSSE - (Largeur 25mm Profondeur 15mm)</v>
      </c>
      <c r="X18" s="50">
        <v>0.0</v>
      </c>
      <c r="Y18" s="52" t="s">
        <v>44</v>
      </c>
      <c r="Z18" s="47" t="str">
        <f t="shared" si="7"/>
        <v>MARA 25 BLANC 20*30 VERRE</v>
      </c>
      <c r="AA18" s="39" t="s">
        <v>45</v>
      </c>
      <c r="AB18" s="39" t="s">
        <v>49</v>
      </c>
      <c r="AC18" s="47" t="str">
        <f t="shared" si="8"/>
        <v>MARA 25 BLANC 20*30 VERRE</v>
      </c>
      <c r="AD18" s="39" t="s">
        <v>47</v>
      </c>
      <c r="AE18" s="39" t="str">
        <f t="shared" si="9"/>
        <v>ROMY  20*30 BLANC VERRE PAS DE REHAUSSE - CADRES CLASSIQUES - Pas de passepartout - DOS AVEC CHEVALET (Largeur 25mm Profondeur 15mm)</v>
      </c>
      <c r="AF18" s="39" t="str">
        <f t="shared" si="1"/>
        <v>ROMY  20*30 BLANC VERRE PAS DE REHAUSSE - CADRES CLASSIQUES - Pas de passepartout - DOS AVEC CHEVALET (Largeur 25mm Profondeur 15mm)</v>
      </c>
      <c r="AG18" s="53">
        <f t="shared" si="10"/>
        <v>8.271155357</v>
      </c>
      <c r="AH18" s="39"/>
      <c r="AI18" s="39"/>
      <c r="AJ18" s="39"/>
      <c r="AK18" s="39"/>
      <c r="AL18" s="39"/>
      <c r="AM18" s="39"/>
      <c r="AN18" s="39"/>
      <c r="AO18" s="39"/>
      <c r="AP18" s="39"/>
    </row>
    <row r="19" ht="15.75" customHeight="1">
      <c r="A19" s="39">
        <v>1026.0</v>
      </c>
      <c r="B19" s="40" t="s">
        <v>36</v>
      </c>
      <c r="C19" s="41" t="s">
        <v>72</v>
      </c>
      <c r="D19" s="42" t="s">
        <v>73</v>
      </c>
      <c r="E19" s="43">
        <v>345707.0</v>
      </c>
      <c r="F19" s="44" t="s">
        <v>73</v>
      </c>
      <c r="G19" s="45">
        <v>3.0</v>
      </c>
      <c r="H19" s="54">
        <v>6.261705387841882</v>
      </c>
      <c r="I19" s="47" t="s">
        <v>39</v>
      </c>
      <c r="J19" s="39" t="str">
        <f t="shared" si="2"/>
        <v>069655 - MARA 25</v>
      </c>
      <c r="K19" s="47">
        <f t="shared" si="3"/>
        <v>11.6435</v>
      </c>
      <c r="L19" s="48">
        <v>6.38</v>
      </c>
      <c r="M19" s="49">
        <f t="shared" si="4"/>
        <v>11.6435</v>
      </c>
      <c r="N19" s="39" t="s">
        <v>40</v>
      </c>
      <c r="O19" s="39" t="s">
        <v>41</v>
      </c>
      <c r="P19" s="39" t="s">
        <v>42</v>
      </c>
      <c r="Q19" s="47" t="str">
        <f t="shared" si="5"/>
        <v>20*50</v>
      </c>
      <c r="R19" s="50">
        <v>1.0</v>
      </c>
      <c r="S19" s="51">
        <v>0.0</v>
      </c>
      <c r="T19" s="51">
        <v>0.0</v>
      </c>
      <c r="U19" s="51">
        <v>0.0</v>
      </c>
      <c r="V19" s="39" t="s">
        <v>43</v>
      </c>
      <c r="W19" s="47" t="str">
        <f t="shared" si="6"/>
        <v>BLANC - 20*50 - PAS DE REHAUSSE - (Largeur 25mm Profondeur 15mm)</v>
      </c>
      <c r="X19" s="50">
        <v>0.0</v>
      </c>
      <c r="Y19" s="52" t="s">
        <v>44</v>
      </c>
      <c r="Z19" s="47" t="str">
        <f t="shared" si="7"/>
        <v>MARA 25 BLANC 20*50 VERRE</v>
      </c>
      <c r="AA19" s="39" t="s">
        <v>45</v>
      </c>
      <c r="AB19" s="39" t="s">
        <v>46</v>
      </c>
      <c r="AC19" s="47" t="str">
        <f t="shared" si="8"/>
        <v>MARA 25 BLANC 20*50 VERRE</v>
      </c>
      <c r="AD19" s="39" t="s">
        <v>47</v>
      </c>
      <c r="AE19" s="39" t="str">
        <f t="shared" si="9"/>
        <v>ROMY  20*50 BLANC VERRE PAS DE REHAUSSE - CADRES CLASSIQUES - Pas de passepartout - Dos classique sans chevalet (Largeur 25mm Profondeur 15mm)</v>
      </c>
      <c r="AF19" s="39" t="str">
        <f t="shared" si="1"/>
        <v>ROMY  20*50 BLANC VERRE PAS DE REHAUSSE - CADRES CLASSIQUES - Pas de passepartout - Dos classique sans chevalet (Largeur 25mm Profondeur 15mm)</v>
      </c>
      <c r="AG19" s="53">
        <f t="shared" si="10"/>
        <v>11.2710697</v>
      </c>
      <c r="AH19" s="39"/>
      <c r="AI19" s="39"/>
      <c r="AJ19" s="39"/>
      <c r="AK19" s="39"/>
      <c r="AL19" s="39"/>
      <c r="AM19" s="39"/>
      <c r="AN19" s="39"/>
      <c r="AO19" s="39"/>
      <c r="AP19" s="39"/>
    </row>
    <row r="20" ht="15.75" customHeight="1">
      <c r="A20" s="39">
        <v>1027.0</v>
      </c>
      <c r="B20" s="40" t="s">
        <v>36</v>
      </c>
      <c r="C20" s="41" t="s">
        <v>74</v>
      </c>
      <c r="D20" s="42" t="s">
        <v>75</v>
      </c>
      <c r="E20" s="43">
        <v>345707.0</v>
      </c>
      <c r="F20" s="44" t="s">
        <v>75</v>
      </c>
      <c r="G20" s="45">
        <v>0.0</v>
      </c>
      <c r="H20" s="54">
        <v>7.108699353347062</v>
      </c>
      <c r="I20" s="47" t="s">
        <v>39</v>
      </c>
      <c r="J20" s="39" t="str">
        <f t="shared" si="2"/>
        <v>069656 - MARA 25</v>
      </c>
      <c r="K20" s="47">
        <f t="shared" si="3"/>
        <v>13.213</v>
      </c>
      <c r="L20" s="48">
        <v>7.24</v>
      </c>
      <c r="M20" s="49">
        <f t="shared" si="4"/>
        <v>13.213</v>
      </c>
      <c r="N20" s="39" t="s">
        <v>40</v>
      </c>
      <c r="O20" s="39" t="s">
        <v>41</v>
      </c>
      <c r="P20" s="39" t="s">
        <v>42</v>
      </c>
      <c r="Q20" s="47" t="str">
        <f t="shared" si="5"/>
        <v>20*60</v>
      </c>
      <c r="R20" s="50">
        <v>1.0</v>
      </c>
      <c r="S20" s="51">
        <v>0.0</v>
      </c>
      <c r="T20" s="51">
        <v>0.0</v>
      </c>
      <c r="U20" s="51">
        <v>0.0</v>
      </c>
      <c r="V20" s="39" t="s">
        <v>43</v>
      </c>
      <c r="W20" s="47" t="str">
        <f t="shared" si="6"/>
        <v>BLANC - 20*60 - PAS DE REHAUSSE - (Largeur 25mm Profondeur 15mm)</v>
      </c>
      <c r="X20" s="50">
        <v>0.0</v>
      </c>
      <c r="Y20" s="52" t="s">
        <v>44</v>
      </c>
      <c r="Z20" s="47" t="str">
        <f t="shared" si="7"/>
        <v>MARA 25 BLANC 20*60 VERRE</v>
      </c>
      <c r="AA20" s="39" t="s">
        <v>45</v>
      </c>
      <c r="AB20" s="39" t="s">
        <v>46</v>
      </c>
      <c r="AC20" s="47" t="str">
        <f t="shared" si="8"/>
        <v>MARA 25 BLANC 20*60 VERRE</v>
      </c>
      <c r="AD20" s="39" t="s">
        <v>47</v>
      </c>
      <c r="AE20" s="39" t="str">
        <f t="shared" si="9"/>
        <v>ROMY  20*60 BLANC VERRE PAS DE REHAUSSE - CADRES CLASSIQUES - Pas de passepartout - Dos classique sans chevalet (Largeur 25mm Profondeur 15mm)</v>
      </c>
      <c r="AF20" s="39" t="str">
        <f t="shared" si="1"/>
        <v>ROMY  20*60 BLANC VERRE PAS DE REHAUSSE - CADRES CLASSIQUES - Pas de passepartout - Dos classique sans chevalet (Largeur 25mm Profondeur 15mm)</v>
      </c>
      <c r="AG20" s="53">
        <f t="shared" si="10"/>
        <v>12.79565884</v>
      </c>
      <c r="AH20" s="39"/>
      <c r="AI20" s="39"/>
      <c r="AJ20" s="39"/>
      <c r="AK20" s="39"/>
      <c r="AL20" s="39"/>
      <c r="AM20" s="39"/>
      <c r="AN20" s="39"/>
      <c r="AO20" s="39"/>
      <c r="AP20" s="39"/>
    </row>
    <row r="21" ht="15.75" customHeight="1">
      <c r="A21" s="39">
        <v>1028.0</v>
      </c>
      <c r="B21" s="40" t="s">
        <v>36</v>
      </c>
      <c r="C21" s="41" t="s">
        <v>76</v>
      </c>
      <c r="D21" s="42" t="s">
        <v>77</v>
      </c>
      <c r="E21" s="43">
        <v>345707.0</v>
      </c>
      <c r="F21" s="44" t="s">
        <v>77</v>
      </c>
      <c r="G21" s="45">
        <v>7.0</v>
      </c>
      <c r="H21" s="54">
        <v>4.694478458471748</v>
      </c>
      <c r="I21" s="47" t="s">
        <v>39</v>
      </c>
      <c r="J21" s="39" t="str">
        <f t="shared" si="2"/>
        <v>069657 - MARA 25</v>
      </c>
      <c r="K21" s="47">
        <f t="shared" si="3"/>
        <v>8.7235</v>
      </c>
      <c r="L21" s="48">
        <v>4.78</v>
      </c>
      <c r="M21" s="49">
        <f t="shared" si="4"/>
        <v>8.7235</v>
      </c>
      <c r="N21" s="39" t="s">
        <v>40</v>
      </c>
      <c r="O21" s="39" t="s">
        <v>41</v>
      </c>
      <c r="P21" s="39" t="s">
        <v>42</v>
      </c>
      <c r="Q21" s="47" t="str">
        <f t="shared" si="5"/>
        <v>21*29,7</v>
      </c>
      <c r="R21" s="50">
        <v>1.0</v>
      </c>
      <c r="S21" s="51">
        <v>0.0</v>
      </c>
      <c r="T21" s="51">
        <v>0.0</v>
      </c>
      <c r="U21" s="51">
        <v>0.0</v>
      </c>
      <c r="V21" s="39" t="s">
        <v>43</v>
      </c>
      <c r="W21" s="47" t="str">
        <f t="shared" si="6"/>
        <v>BLANC - 21*29,7 - PAS DE REHAUSSE - (Largeur 25mm Profondeur 15mm)</v>
      </c>
      <c r="X21" s="50">
        <v>0.0</v>
      </c>
      <c r="Y21" s="52" t="s">
        <v>44</v>
      </c>
      <c r="Z21" s="47" t="str">
        <f t="shared" si="7"/>
        <v>MARA 25 BLANC 21*29,7 VERRE</v>
      </c>
      <c r="AA21" s="39" t="s">
        <v>45</v>
      </c>
      <c r="AB21" s="39" t="s">
        <v>46</v>
      </c>
      <c r="AC21" s="47" t="str">
        <f t="shared" si="8"/>
        <v>MARA 25 BLANC 21*29,7 VERRE</v>
      </c>
      <c r="AD21" s="39" t="s">
        <v>47</v>
      </c>
      <c r="AE21" s="39" t="str">
        <f t="shared" si="9"/>
        <v>ROMY  21*29,7 BLANC VERRE PAS DE REHAUSSE - CADRES CLASSIQUES - Pas de passepartout - Dos classique sans chevalet (Largeur 25mm Profondeur 15mm)</v>
      </c>
      <c r="AF21" s="39" t="str">
        <f t="shared" si="1"/>
        <v>ROMY  21*29,7 BLANC VERRE PAS DE REHAUSSE - CADRES CLASSIQUES - Pas de passepartout - Dos classique sans chevalet (Largeur 25mm Profondeur 15mm)</v>
      </c>
      <c r="AG21" s="53">
        <f t="shared" si="10"/>
        <v>8.450061225</v>
      </c>
      <c r="AH21" s="39"/>
      <c r="AI21" s="39"/>
      <c r="AJ21" s="39"/>
      <c r="AK21" s="39"/>
      <c r="AL21" s="39"/>
      <c r="AM21" s="39"/>
      <c r="AN21" s="39"/>
      <c r="AO21" s="39"/>
      <c r="AP21" s="39"/>
    </row>
    <row r="22" ht="15.75" customHeight="1">
      <c r="A22" s="39">
        <v>1029.0</v>
      </c>
      <c r="B22" s="40" t="s">
        <v>36</v>
      </c>
      <c r="C22" s="41" t="s">
        <v>78</v>
      </c>
      <c r="D22" s="42" t="s">
        <v>79</v>
      </c>
      <c r="E22" s="43">
        <v>345707.0</v>
      </c>
      <c r="F22" s="44" t="s">
        <v>79</v>
      </c>
      <c r="G22" s="45">
        <v>4.0</v>
      </c>
      <c r="H22" s="54">
        <v>6.641988392762575</v>
      </c>
      <c r="I22" s="47" t="s">
        <v>39</v>
      </c>
      <c r="J22" s="39" t="str">
        <f t="shared" si="2"/>
        <v>069658 - MARA 25</v>
      </c>
      <c r="K22" s="47">
        <f t="shared" si="3"/>
        <v>12.35525</v>
      </c>
      <c r="L22" s="48">
        <v>6.77</v>
      </c>
      <c r="M22" s="49">
        <f t="shared" si="4"/>
        <v>12.35525</v>
      </c>
      <c r="N22" s="39" t="s">
        <v>40</v>
      </c>
      <c r="O22" s="39" t="s">
        <v>41</v>
      </c>
      <c r="P22" s="39" t="s">
        <v>42</v>
      </c>
      <c r="Q22" s="47" t="str">
        <f t="shared" si="5"/>
        <v>23*50</v>
      </c>
      <c r="R22" s="50">
        <v>1.0</v>
      </c>
      <c r="S22" s="51">
        <v>0.0</v>
      </c>
      <c r="T22" s="51">
        <v>0.0</v>
      </c>
      <c r="U22" s="51">
        <v>0.0</v>
      </c>
      <c r="V22" s="39" t="s">
        <v>43</v>
      </c>
      <c r="W22" s="47" t="str">
        <f t="shared" si="6"/>
        <v>BLANC - 23*50 - PAS DE REHAUSSE - (Largeur 25mm Profondeur 15mm)</v>
      </c>
      <c r="X22" s="50">
        <v>0.0</v>
      </c>
      <c r="Y22" s="52" t="s">
        <v>44</v>
      </c>
      <c r="Z22" s="47" t="str">
        <f t="shared" si="7"/>
        <v>MARA 25 BLANC 23*50 VERRE</v>
      </c>
      <c r="AA22" s="39" t="s">
        <v>45</v>
      </c>
      <c r="AB22" s="39" t="s">
        <v>46</v>
      </c>
      <c r="AC22" s="47" t="str">
        <f t="shared" si="8"/>
        <v>MARA 25 BLANC 23*50 VERRE</v>
      </c>
      <c r="AD22" s="39" t="s">
        <v>47</v>
      </c>
      <c r="AE22" s="39" t="str">
        <f t="shared" si="9"/>
        <v>ROMY  23*50 BLANC VERRE PAS DE REHAUSSE - CADRES CLASSIQUES - Pas de passepartout - Dos classique sans chevalet (Largeur 25mm Profondeur 15mm)</v>
      </c>
      <c r="AF22" s="39" t="str">
        <f t="shared" si="1"/>
        <v>ROMY  23*50 BLANC VERRE PAS DE REHAUSSE - CADRES CLASSIQUES - Pas de passepartout - Dos classique sans chevalet (Largeur 25mm Profondeur 15mm)</v>
      </c>
      <c r="AG22" s="53">
        <f t="shared" si="10"/>
        <v>11.95557911</v>
      </c>
      <c r="AH22" s="39"/>
      <c r="AI22" s="39"/>
      <c r="AJ22" s="39"/>
      <c r="AK22" s="39"/>
      <c r="AL22" s="39"/>
      <c r="AM22" s="39"/>
      <c r="AN22" s="39"/>
      <c r="AO22" s="39"/>
      <c r="AP22" s="39"/>
    </row>
    <row r="23" ht="15.75" customHeight="1">
      <c r="A23" s="39">
        <v>1030.0</v>
      </c>
      <c r="B23" s="40" t="s">
        <v>36</v>
      </c>
      <c r="C23" s="41" t="s">
        <v>80</v>
      </c>
      <c r="D23" s="42" t="s">
        <v>81</v>
      </c>
      <c r="E23" s="43">
        <v>345707.0</v>
      </c>
      <c r="F23" s="44" t="s">
        <v>81</v>
      </c>
      <c r="G23" s="45">
        <v>1.0</v>
      </c>
      <c r="H23" s="54">
        <v>4.9768097803068105</v>
      </c>
      <c r="I23" s="47" t="s">
        <v>39</v>
      </c>
      <c r="J23" s="39" t="str">
        <f t="shared" si="2"/>
        <v>069659 - MARA 25</v>
      </c>
      <c r="K23" s="47">
        <f t="shared" si="3"/>
        <v>9.25275</v>
      </c>
      <c r="L23" s="48">
        <v>5.07</v>
      </c>
      <c r="M23" s="49">
        <f t="shared" si="4"/>
        <v>9.25275</v>
      </c>
      <c r="N23" s="39" t="s">
        <v>40</v>
      </c>
      <c r="O23" s="39" t="s">
        <v>41</v>
      </c>
      <c r="P23" s="39" t="s">
        <v>42</v>
      </c>
      <c r="Q23" s="47" t="str">
        <f t="shared" si="5"/>
        <v>24*30</v>
      </c>
      <c r="R23" s="50">
        <v>1.0</v>
      </c>
      <c r="S23" s="51">
        <v>0.0</v>
      </c>
      <c r="T23" s="51">
        <v>0.0</v>
      </c>
      <c r="U23" s="51">
        <v>0.0</v>
      </c>
      <c r="V23" s="39" t="s">
        <v>43</v>
      </c>
      <c r="W23" s="47" t="str">
        <f t="shared" si="6"/>
        <v>BLANC - 24*30 - PAS DE REHAUSSE - (Largeur 25mm Profondeur 15mm)</v>
      </c>
      <c r="X23" s="50">
        <v>0.0</v>
      </c>
      <c r="Y23" s="52" t="s">
        <v>44</v>
      </c>
      <c r="Z23" s="47" t="str">
        <f t="shared" si="7"/>
        <v>MARA 25 BLANC 24*30 VERRE</v>
      </c>
      <c r="AA23" s="39" t="s">
        <v>45</v>
      </c>
      <c r="AB23" s="39" t="s">
        <v>46</v>
      </c>
      <c r="AC23" s="47" t="str">
        <f t="shared" si="8"/>
        <v>MARA 25 BLANC 24*30 VERRE</v>
      </c>
      <c r="AD23" s="39" t="s">
        <v>47</v>
      </c>
      <c r="AE23" s="39" t="str">
        <f t="shared" si="9"/>
        <v>ROMY  24*30 BLANC VERRE PAS DE REHAUSSE - CADRES CLASSIQUES - Pas de passepartout - Dos classique sans chevalet (Largeur 25mm Profondeur 15mm)</v>
      </c>
      <c r="AF23" s="39" t="str">
        <f t="shared" si="1"/>
        <v>ROMY  24*30 BLANC VERRE PAS DE REHAUSSE - CADRES CLASSIQUES - Pas de passepartout - Dos classique sans chevalet (Largeur 25mm Profondeur 15mm)</v>
      </c>
      <c r="AG23" s="53">
        <f t="shared" si="10"/>
        <v>8.958257605</v>
      </c>
      <c r="AH23" s="39"/>
      <c r="AI23" s="39"/>
      <c r="AJ23" s="39"/>
      <c r="AK23" s="39"/>
      <c r="AL23" s="39"/>
      <c r="AM23" s="39"/>
      <c r="AN23" s="39"/>
      <c r="AO23" s="39"/>
      <c r="AP23" s="39"/>
    </row>
    <row r="24" ht="15.75" customHeight="1">
      <c r="A24" s="39">
        <v>1031.0</v>
      </c>
      <c r="B24" s="40" t="s">
        <v>36</v>
      </c>
      <c r="C24" s="41" t="s">
        <v>82</v>
      </c>
      <c r="D24" s="42" t="s">
        <v>83</v>
      </c>
      <c r="E24" s="43">
        <v>345707.0</v>
      </c>
      <c r="F24" s="44" t="s">
        <v>83</v>
      </c>
      <c r="G24" s="45">
        <v>7.0</v>
      </c>
      <c r="H24" s="54">
        <v>6.9012722597539575</v>
      </c>
      <c r="I24" s="47" t="s">
        <v>39</v>
      </c>
      <c r="J24" s="39" t="str">
        <f t="shared" si="2"/>
        <v>069660 - MARA 25</v>
      </c>
      <c r="K24" s="47">
        <f t="shared" si="3"/>
        <v>12.82975</v>
      </c>
      <c r="L24" s="48">
        <v>7.03</v>
      </c>
      <c r="M24" s="49">
        <f t="shared" si="4"/>
        <v>12.82975</v>
      </c>
      <c r="N24" s="39" t="s">
        <v>40</v>
      </c>
      <c r="O24" s="39" t="s">
        <v>41</v>
      </c>
      <c r="P24" s="39" t="s">
        <v>42</v>
      </c>
      <c r="Q24" s="47" t="str">
        <f t="shared" si="5"/>
        <v>25*50</v>
      </c>
      <c r="R24" s="50">
        <v>1.0</v>
      </c>
      <c r="S24" s="51">
        <v>0.0</v>
      </c>
      <c r="T24" s="51">
        <v>0.0</v>
      </c>
      <c r="U24" s="51">
        <v>0.0</v>
      </c>
      <c r="V24" s="39" t="s">
        <v>43</v>
      </c>
      <c r="W24" s="47" t="str">
        <f t="shared" si="6"/>
        <v>BLANC - 25*50 - PAS DE REHAUSSE - (Largeur 25mm Profondeur 15mm)</v>
      </c>
      <c r="X24" s="50">
        <v>0.0</v>
      </c>
      <c r="Y24" s="52" t="s">
        <v>44</v>
      </c>
      <c r="Z24" s="47" t="str">
        <f t="shared" si="7"/>
        <v>MARA 25 BLANC 25*50 VERRE</v>
      </c>
      <c r="AA24" s="39" t="s">
        <v>45</v>
      </c>
      <c r="AB24" s="39" t="s">
        <v>46</v>
      </c>
      <c r="AC24" s="47" t="str">
        <f t="shared" si="8"/>
        <v>MARA 25 BLANC 25*50 VERRE</v>
      </c>
      <c r="AD24" s="39" t="s">
        <v>47</v>
      </c>
      <c r="AE24" s="39" t="str">
        <f t="shared" si="9"/>
        <v>ROMY  25*50 BLANC VERRE PAS DE REHAUSSE - CADRES CLASSIQUES - Pas de passepartout - Dos classique sans chevalet (Largeur 25mm Profondeur 15mm)</v>
      </c>
      <c r="AF24" s="39" t="str">
        <f t="shared" si="1"/>
        <v>ROMY  25*50 BLANC VERRE PAS DE REHAUSSE - CADRES CLASSIQUES - Pas de passepartout - Dos classique sans chevalet (Largeur 25mm Profondeur 15mm)</v>
      </c>
      <c r="AG24" s="53">
        <f t="shared" si="10"/>
        <v>12.42229007</v>
      </c>
      <c r="AH24" s="39"/>
      <c r="AI24" s="39"/>
      <c r="AJ24" s="39"/>
      <c r="AK24" s="39"/>
      <c r="AL24" s="39"/>
      <c r="AM24" s="39"/>
      <c r="AN24" s="39"/>
      <c r="AO24" s="39"/>
      <c r="AP24" s="39"/>
    </row>
    <row r="25" ht="15.75" customHeight="1">
      <c r="A25" s="39">
        <v>1032.0</v>
      </c>
      <c r="B25" s="40" t="s">
        <v>36</v>
      </c>
      <c r="C25" s="41" t="s">
        <v>84</v>
      </c>
      <c r="D25" s="42" t="s">
        <v>85</v>
      </c>
      <c r="E25" s="43">
        <v>345707.0</v>
      </c>
      <c r="F25" s="44" t="s">
        <v>85</v>
      </c>
      <c r="G25" s="45">
        <v>4.0</v>
      </c>
      <c r="H25" s="54">
        <v>6.739940075848208</v>
      </c>
      <c r="I25" s="47" t="s">
        <v>39</v>
      </c>
      <c r="J25" s="39" t="str">
        <f t="shared" si="2"/>
        <v>069661 - MARA 25</v>
      </c>
      <c r="K25" s="47">
        <f t="shared" si="3"/>
        <v>12.53775</v>
      </c>
      <c r="L25" s="48">
        <v>6.87</v>
      </c>
      <c r="M25" s="49">
        <f t="shared" si="4"/>
        <v>12.53775</v>
      </c>
      <c r="N25" s="39" t="s">
        <v>40</v>
      </c>
      <c r="O25" s="39" t="s">
        <v>41</v>
      </c>
      <c r="P25" s="39" t="s">
        <v>42</v>
      </c>
      <c r="Q25" s="47" t="str">
        <f t="shared" si="5"/>
        <v>29,7*42</v>
      </c>
      <c r="R25" s="50">
        <v>1.0</v>
      </c>
      <c r="S25" s="51">
        <v>0.0</v>
      </c>
      <c r="T25" s="51">
        <v>0.0</v>
      </c>
      <c r="U25" s="51">
        <v>0.0</v>
      </c>
      <c r="V25" s="39" t="s">
        <v>43</v>
      </c>
      <c r="W25" s="47" t="str">
        <f t="shared" si="6"/>
        <v>BLANC - 29,7*42 - PAS DE REHAUSSE - (Largeur 25mm Profondeur 15mm)</v>
      </c>
      <c r="X25" s="50">
        <v>0.0</v>
      </c>
      <c r="Y25" s="52" t="s">
        <v>44</v>
      </c>
      <c r="Z25" s="47" t="str">
        <f t="shared" si="7"/>
        <v>MARA 25 BLANC 29,7*42 VERRE</v>
      </c>
      <c r="AA25" s="39" t="s">
        <v>45</v>
      </c>
      <c r="AB25" s="39" t="s">
        <v>46</v>
      </c>
      <c r="AC25" s="47" t="str">
        <f t="shared" si="8"/>
        <v>MARA 25 BLANC 29,7*42 VERRE</v>
      </c>
      <c r="AD25" s="39" t="s">
        <v>47</v>
      </c>
      <c r="AE25" s="39" t="str">
        <f t="shared" si="9"/>
        <v>ROMY  29,7*42 BLANC VERRE PAS DE REHAUSSE - CADRES CLASSIQUES - Pas de passepartout - Dos classique sans chevalet (Largeur 25mm Profondeur 15mm)</v>
      </c>
      <c r="AF25" s="39" t="str">
        <f t="shared" si="1"/>
        <v>ROMY  29,7*42 BLANC VERRE PAS DE REHAUSSE - CADRES CLASSIQUES - Pas de passepartout - Dos classique sans chevalet (Largeur 25mm Profondeur 15mm)</v>
      </c>
      <c r="AG25" s="53">
        <f t="shared" si="10"/>
        <v>12.13189214</v>
      </c>
      <c r="AH25" s="39"/>
      <c r="AI25" s="39"/>
      <c r="AJ25" s="39"/>
      <c r="AK25" s="39"/>
      <c r="AL25" s="39"/>
      <c r="AM25" s="39"/>
      <c r="AN25" s="39"/>
      <c r="AO25" s="39"/>
      <c r="AP25" s="39"/>
    </row>
    <row r="26" ht="15.75" customHeight="1">
      <c r="A26" s="39">
        <v>1033.0</v>
      </c>
      <c r="B26" s="40" t="s">
        <v>36</v>
      </c>
      <c r="C26" s="41" t="s">
        <v>86</v>
      </c>
      <c r="D26" s="42" t="s">
        <v>87</v>
      </c>
      <c r="E26" s="43">
        <v>345707.0</v>
      </c>
      <c r="F26" s="44" t="s">
        <v>87</v>
      </c>
      <c r="G26" s="45">
        <v>1.0</v>
      </c>
      <c r="H26" s="54">
        <v>5.565960344748339</v>
      </c>
      <c r="I26" s="47" t="s">
        <v>39</v>
      </c>
      <c r="J26" s="39" t="str">
        <f t="shared" si="2"/>
        <v>069662 - MARA 25</v>
      </c>
      <c r="K26" s="47">
        <f t="shared" si="3"/>
        <v>10.34775</v>
      </c>
      <c r="L26" s="48">
        <v>5.67</v>
      </c>
      <c r="M26" s="49">
        <f t="shared" si="4"/>
        <v>10.34775</v>
      </c>
      <c r="N26" s="39" t="s">
        <v>40</v>
      </c>
      <c r="O26" s="39" t="s">
        <v>41</v>
      </c>
      <c r="P26" s="39" t="s">
        <v>42</v>
      </c>
      <c r="Q26" s="47" t="str">
        <f t="shared" si="5"/>
        <v>30*30</v>
      </c>
      <c r="R26" s="50">
        <v>1.0</v>
      </c>
      <c r="S26" s="51">
        <v>0.0</v>
      </c>
      <c r="T26" s="51">
        <v>0.0</v>
      </c>
      <c r="U26" s="51">
        <v>0.0</v>
      </c>
      <c r="V26" s="39" t="s">
        <v>43</v>
      </c>
      <c r="W26" s="47" t="str">
        <f t="shared" si="6"/>
        <v>BLANC - 30*30 - PAS DE REHAUSSE - (Largeur 25mm Profondeur 15mm)</v>
      </c>
      <c r="X26" s="50">
        <v>0.0</v>
      </c>
      <c r="Y26" s="52" t="s">
        <v>44</v>
      </c>
      <c r="Z26" s="47" t="str">
        <f t="shared" si="7"/>
        <v>MARA 25 BLANC 30*30 VERRE</v>
      </c>
      <c r="AA26" s="39" t="s">
        <v>45</v>
      </c>
      <c r="AB26" s="39" t="s">
        <v>46</v>
      </c>
      <c r="AC26" s="47" t="str">
        <f t="shared" si="8"/>
        <v>MARA 25 BLANC 30*30 VERRE</v>
      </c>
      <c r="AD26" s="39" t="s">
        <v>47</v>
      </c>
      <c r="AE26" s="39" t="str">
        <f t="shared" si="9"/>
        <v>ROMY  30*30 BLANC VERRE PAS DE REHAUSSE - CADRES CLASSIQUES - Pas de passepartout - Dos classique sans chevalet (Largeur 25mm Profondeur 15mm)</v>
      </c>
      <c r="AF26" s="39" t="str">
        <f t="shared" si="1"/>
        <v>ROMY  30*30 BLANC VERRE PAS DE REHAUSSE - CADRES CLASSIQUES - Pas de passepartout - Dos classique sans chevalet (Largeur 25mm Profondeur 15mm)</v>
      </c>
      <c r="AG26" s="53">
        <f t="shared" si="10"/>
        <v>10.01872862</v>
      </c>
      <c r="AH26" s="39"/>
      <c r="AI26" s="39"/>
      <c r="AJ26" s="39"/>
      <c r="AK26" s="39"/>
      <c r="AL26" s="39"/>
      <c r="AM26" s="39"/>
      <c r="AN26" s="39"/>
      <c r="AO26" s="39"/>
      <c r="AP26" s="39"/>
    </row>
    <row r="27" ht="15.75" customHeight="1">
      <c r="A27" s="39">
        <v>1034.0</v>
      </c>
      <c r="B27" s="40" t="s">
        <v>36</v>
      </c>
      <c r="C27" s="41" t="s">
        <v>88</v>
      </c>
      <c r="D27" s="42" t="s">
        <v>89</v>
      </c>
      <c r="E27" s="43">
        <v>345707.0</v>
      </c>
      <c r="F27" s="44" t="s">
        <v>89</v>
      </c>
      <c r="G27" s="45">
        <v>8.0</v>
      </c>
      <c r="H27" s="54">
        <v>6.557000903026507</v>
      </c>
      <c r="I27" s="47" t="s">
        <v>39</v>
      </c>
      <c r="J27" s="39" t="str">
        <f t="shared" si="2"/>
        <v>069663 - MARA 25</v>
      </c>
      <c r="K27" s="47">
        <f t="shared" si="3"/>
        <v>12.191</v>
      </c>
      <c r="L27" s="48">
        <v>6.68</v>
      </c>
      <c r="M27" s="49">
        <f t="shared" si="4"/>
        <v>12.191</v>
      </c>
      <c r="N27" s="39" t="s">
        <v>40</v>
      </c>
      <c r="O27" s="39" t="s">
        <v>41</v>
      </c>
      <c r="P27" s="39" t="s">
        <v>42</v>
      </c>
      <c r="Q27" s="47" t="str">
        <f t="shared" si="5"/>
        <v>30*40</v>
      </c>
      <c r="R27" s="50">
        <v>1.0</v>
      </c>
      <c r="S27" s="51">
        <v>0.0</v>
      </c>
      <c r="T27" s="51">
        <v>0.0</v>
      </c>
      <c r="U27" s="51">
        <v>0.0</v>
      </c>
      <c r="V27" s="39" t="s">
        <v>43</v>
      </c>
      <c r="W27" s="47" t="str">
        <f t="shared" si="6"/>
        <v>BLANC - 30*40 - PAS DE REHAUSSE - (Largeur 25mm Profondeur 15mm)</v>
      </c>
      <c r="X27" s="50">
        <v>0.0</v>
      </c>
      <c r="Y27" s="52" t="s">
        <v>44</v>
      </c>
      <c r="Z27" s="47" t="str">
        <f t="shared" si="7"/>
        <v>MARA 25 BLANC 30*40 VERRE</v>
      </c>
      <c r="AA27" s="39" t="s">
        <v>45</v>
      </c>
      <c r="AB27" s="39" t="s">
        <v>46</v>
      </c>
      <c r="AC27" s="47" t="str">
        <f t="shared" si="8"/>
        <v>MARA 25 BLANC 30*40 VERRE</v>
      </c>
      <c r="AD27" s="39" t="s">
        <v>47</v>
      </c>
      <c r="AE27" s="39" t="str">
        <f t="shared" si="9"/>
        <v>ROMY  30*40 BLANC VERRE PAS DE REHAUSSE - CADRES CLASSIQUES - Pas de passepartout - Dos classique sans chevalet (Largeur 25mm Profondeur 15mm)</v>
      </c>
      <c r="AF27" s="39" t="str">
        <f t="shared" si="1"/>
        <v>ROMY  30*40 BLANC VERRE PAS DE REHAUSSE - CADRES CLASSIQUES - Pas de passepartout - Dos classique sans chevalet (Largeur 25mm Profondeur 15mm)</v>
      </c>
      <c r="AG27" s="53">
        <f t="shared" si="10"/>
        <v>11.80260163</v>
      </c>
      <c r="AH27" s="39"/>
      <c r="AI27" s="39"/>
      <c r="AJ27" s="39"/>
      <c r="AK27" s="39"/>
      <c r="AL27" s="39"/>
      <c r="AM27" s="39"/>
      <c r="AN27" s="39"/>
      <c r="AO27" s="39"/>
      <c r="AP27" s="39"/>
    </row>
    <row r="28" ht="15.75" customHeight="1">
      <c r="A28" s="39">
        <v>1035.0</v>
      </c>
      <c r="B28" s="40" t="s">
        <v>36</v>
      </c>
      <c r="C28" s="41" t="s">
        <v>90</v>
      </c>
      <c r="D28" s="42" t="s">
        <v>91</v>
      </c>
      <c r="E28" s="43">
        <v>345707.0</v>
      </c>
      <c r="F28" s="44" t="s">
        <v>91</v>
      </c>
      <c r="G28" s="45">
        <v>5.0</v>
      </c>
      <c r="H28" s="54">
        <v>7.049640250310137</v>
      </c>
      <c r="I28" s="47" t="s">
        <v>39</v>
      </c>
      <c r="J28" s="39" t="str">
        <f t="shared" si="2"/>
        <v>069664 - MARA 25</v>
      </c>
      <c r="K28" s="47">
        <f t="shared" si="3"/>
        <v>13.1035</v>
      </c>
      <c r="L28" s="48">
        <v>7.18</v>
      </c>
      <c r="M28" s="49">
        <f t="shared" si="4"/>
        <v>13.1035</v>
      </c>
      <c r="N28" s="39" t="s">
        <v>40</v>
      </c>
      <c r="O28" s="39" t="s">
        <v>41</v>
      </c>
      <c r="P28" s="39" t="s">
        <v>42</v>
      </c>
      <c r="Q28" s="47" t="str">
        <f t="shared" si="5"/>
        <v>30*45</v>
      </c>
      <c r="R28" s="50">
        <v>1.0</v>
      </c>
      <c r="S28" s="51">
        <v>0.0</v>
      </c>
      <c r="T28" s="51">
        <v>0.0</v>
      </c>
      <c r="U28" s="51">
        <v>0.0</v>
      </c>
      <c r="V28" s="39" t="s">
        <v>43</v>
      </c>
      <c r="W28" s="47" t="str">
        <f t="shared" si="6"/>
        <v>BLANC - 30*45 - PAS DE REHAUSSE - (Largeur 25mm Profondeur 15mm)</v>
      </c>
      <c r="X28" s="50">
        <v>0.0</v>
      </c>
      <c r="Y28" s="52" t="s">
        <v>44</v>
      </c>
      <c r="Z28" s="47" t="str">
        <f t="shared" si="7"/>
        <v>MARA 25 BLANC 30*45 VERRE</v>
      </c>
      <c r="AA28" s="39" t="s">
        <v>45</v>
      </c>
      <c r="AB28" s="39" t="s">
        <v>46</v>
      </c>
      <c r="AC28" s="47" t="str">
        <f t="shared" si="8"/>
        <v>MARA 25 BLANC 30*45 VERRE</v>
      </c>
      <c r="AD28" s="39" t="s">
        <v>47</v>
      </c>
      <c r="AE28" s="39" t="str">
        <f t="shared" si="9"/>
        <v>ROMY  30*45 BLANC VERRE PAS DE REHAUSSE - CADRES CLASSIQUES - Pas de passepartout - Dos classique sans chevalet (Largeur 25mm Profondeur 15mm)</v>
      </c>
      <c r="AF28" s="39" t="str">
        <f t="shared" si="1"/>
        <v>ROMY  30*45 BLANC VERRE PAS DE REHAUSSE - CADRES CLASSIQUES - Pas de passepartout - Dos classique sans chevalet (Largeur 25mm Profondeur 15mm)</v>
      </c>
      <c r="AG28" s="53">
        <f t="shared" si="10"/>
        <v>12.68935245</v>
      </c>
      <c r="AH28" s="39"/>
      <c r="AI28" s="39"/>
      <c r="AJ28" s="39"/>
      <c r="AK28" s="39"/>
      <c r="AL28" s="39"/>
      <c r="AM28" s="39"/>
      <c r="AN28" s="39"/>
      <c r="AO28" s="39"/>
      <c r="AP28" s="39"/>
    </row>
    <row r="29" ht="15.75" customHeight="1">
      <c r="A29" s="39">
        <v>1036.0</v>
      </c>
      <c r="B29" s="40" t="s">
        <v>36</v>
      </c>
      <c r="C29" s="41" t="s">
        <v>92</v>
      </c>
      <c r="D29" s="42" t="s">
        <v>93</v>
      </c>
      <c r="E29" s="43">
        <v>345707.0</v>
      </c>
      <c r="F29" s="44" t="s">
        <v>93</v>
      </c>
      <c r="G29" s="45">
        <v>2.0</v>
      </c>
      <c r="H29" s="54">
        <v>12.480196797851866</v>
      </c>
      <c r="I29" s="47" t="s">
        <v>39</v>
      </c>
      <c r="J29" s="39" t="str">
        <f t="shared" si="2"/>
        <v>069665 - MARA 25</v>
      </c>
      <c r="K29" s="47">
        <f t="shared" si="3"/>
        <v>23.214</v>
      </c>
      <c r="L29" s="48">
        <v>12.72</v>
      </c>
      <c r="M29" s="49">
        <f t="shared" si="4"/>
        <v>23.214</v>
      </c>
      <c r="N29" s="39" t="s">
        <v>40</v>
      </c>
      <c r="O29" s="39" t="s">
        <v>41</v>
      </c>
      <c r="P29" s="39" t="s">
        <v>42</v>
      </c>
      <c r="Q29" s="47" t="str">
        <f t="shared" si="5"/>
        <v>33*95</v>
      </c>
      <c r="R29" s="50">
        <v>1.0</v>
      </c>
      <c r="S29" s="51">
        <v>0.0</v>
      </c>
      <c r="T29" s="51">
        <v>0.0</v>
      </c>
      <c r="U29" s="51">
        <v>0.0</v>
      </c>
      <c r="V29" s="39" t="s">
        <v>43</v>
      </c>
      <c r="W29" s="47" t="str">
        <f t="shared" si="6"/>
        <v>BLANC - 33*95 - PAS DE REHAUSSE - (Largeur 25mm Profondeur 15mm)</v>
      </c>
      <c r="X29" s="50">
        <v>0.0</v>
      </c>
      <c r="Y29" s="52" t="s">
        <v>44</v>
      </c>
      <c r="Z29" s="47" t="str">
        <f t="shared" si="7"/>
        <v>MARA 25 BLANC 33*95 VERRE</v>
      </c>
      <c r="AA29" s="39" t="s">
        <v>45</v>
      </c>
      <c r="AB29" s="39" t="s">
        <v>46</v>
      </c>
      <c r="AC29" s="47" t="str">
        <f t="shared" si="8"/>
        <v>MARA 25 BLANC 33*95 VERRE</v>
      </c>
      <c r="AD29" s="39" t="s">
        <v>47</v>
      </c>
      <c r="AE29" s="39" t="str">
        <f t="shared" si="9"/>
        <v>ROMY  33*95 BLANC VERRE PAS DE REHAUSSE - CADRES CLASSIQUES - Pas de passepartout - Dos classique sans chevalet (Largeur 25mm Profondeur 15mm)</v>
      </c>
      <c r="AF29" s="39" t="str">
        <f t="shared" si="1"/>
        <v>ROMY  33*95 BLANC VERRE PAS DE REHAUSSE - CADRES CLASSIQUES - Pas de passepartout - Dos classique sans chevalet (Largeur 25mm Profondeur 15mm)</v>
      </c>
      <c r="AG29" s="53">
        <f t="shared" si="10"/>
        <v>22.46435424</v>
      </c>
      <c r="AH29" s="39"/>
      <c r="AI29" s="39"/>
      <c r="AJ29" s="39"/>
      <c r="AK29" s="39"/>
      <c r="AL29" s="39"/>
      <c r="AM29" s="39"/>
      <c r="AN29" s="39"/>
      <c r="AO29" s="39"/>
      <c r="AP29" s="39"/>
    </row>
    <row r="30" ht="15.75" customHeight="1">
      <c r="A30" s="39">
        <v>1037.0</v>
      </c>
      <c r="B30" s="40" t="s">
        <v>36</v>
      </c>
      <c r="C30" s="41" t="s">
        <v>94</v>
      </c>
      <c r="D30" s="42" t="s">
        <v>95</v>
      </c>
      <c r="E30" s="43">
        <v>345707.0</v>
      </c>
      <c r="F30" s="44" t="s">
        <v>95</v>
      </c>
      <c r="G30" s="45">
        <v>9.0</v>
      </c>
      <c r="H30" s="54">
        <v>7.663278735523076</v>
      </c>
      <c r="I30" s="47" t="s">
        <v>39</v>
      </c>
      <c r="J30" s="39" t="str">
        <f t="shared" si="2"/>
        <v>069666 - MARA 25</v>
      </c>
      <c r="K30" s="47">
        <f t="shared" si="3"/>
        <v>14.25325</v>
      </c>
      <c r="L30" s="48">
        <v>7.81</v>
      </c>
      <c r="M30" s="49">
        <f t="shared" si="4"/>
        <v>14.25325</v>
      </c>
      <c r="N30" s="39" t="s">
        <v>40</v>
      </c>
      <c r="O30" s="39" t="s">
        <v>41</v>
      </c>
      <c r="P30" s="39" t="s">
        <v>42</v>
      </c>
      <c r="Q30" s="47" t="str">
        <f t="shared" si="5"/>
        <v>40*40</v>
      </c>
      <c r="R30" s="50">
        <v>1.0</v>
      </c>
      <c r="S30" s="51">
        <v>0.0</v>
      </c>
      <c r="T30" s="51">
        <v>0.0</v>
      </c>
      <c r="U30" s="51">
        <v>0.0</v>
      </c>
      <c r="V30" s="39" t="s">
        <v>43</v>
      </c>
      <c r="W30" s="47" t="str">
        <f t="shared" si="6"/>
        <v>BLANC - 40*40 - PAS DE REHAUSSE - (Largeur 25mm Profondeur 15mm)</v>
      </c>
      <c r="X30" s="50">
        <v>0.0</v>
      </c>
      <c r="Y30" s="52" t="s">
        <v>44</v>
      </c>
      <c r="Z30" s="47" t="str">
        <f t="shared" si="7"/>
        <v>MARA 25 BLANC 40*40 VERRE</v>
      </c>
      <c r="AA30" s="39" t="s">
        <v>45</v>
      </c>
      <c r="AB30" s="39" t="s">
        <v>46</v>
      </c>
      <c r="AC30" s="47" t="str">
        <f t="shared" si="8"/>
        <v>MARA 25 BLANC 40*40 VERRE</v>
      </c>
      <c r="AD30" s="39" t="s">
        <v>47</v>
      </c>
      <c r="AE30" s="39" t="str">
        <f t="shared" si="9"/>
        <v>ROMY  40*40 BLANC VERRE PAS DE REHAUSSE - CADRES CLASSIQUES - Pas de passepartout - Dos classique sans chevalet (Largeur 25mm Profondeur 15mm)</v>
      </c>
      <c r="AF30" s="39" t="str">
        <f t="shared" si="1"/>
        <v>ROMY  40*40 BLANC VERRE PAS DE REHAUSSE - CADRES CLASSIQUES - Pas de passepartout - Dos classique sans chevalet (Largeur 25mm Profondeur 15mm)</v>
      </c>
      <c r="AG30" s="53">
        <f t="shared" si="10"/>
        <v>13.79390172</v>
      </c>
      <c r="AH30" s="39"/>
      <c r="AI30" s="39"/>
      <c r="AJ30" s="39"/>
      <c r="AK30" s="39"/>
      <c r="AL30" s="39"/>
      <c r="AM30" s="39"/>
      <c r="AN30" s="39"/>
      <c r="AO30" s="39"/>
      <c r="AP30" s="39"/>
    </row>
    <row r="31" ht="15.75" customHeight="1">
      <c r="A31" s="39">
        <v>1038.0</v>
      </c>
      <c r="B31" s="40" t="s">
        <v>36</v>
      </c>
      <c r="C31" s="41" t="s">
        <v>96</v>
      </c>
      <c r="D31" s="42" t="s">
        <v>97</v>
      </c>
      <c r="E31" s="43">
        <v>345707.0</v>
      </c>
      <c r="F31" s="44" t="s">
        <v>97</v>
      </c>
      <c r="G31" s="45">
        <v>6.0</v>
      </c>
      <c r="H31" s="54">
        <v>8.78108029544148</v>
      </c>
      <c r="I31" s="47" t="s">
        <v>39</v>
      </c>
      <c r="J31" s="39" t="str">
        <f t="shared" si="2"/>
        <v>069667 - MARA 25</v>
      </c>
      <c r="K31" s="47">
        <f t="shared" si="3"/>
        <v>16.33375</v>
      </c>
      <c r="L31" s="48">
        <v>8.95</v>
      </c>
      <c r="M31" s="49">
        <f t="shared" si="4"/>
        <v>16.33375</v>
      </c>
      <c r="N31" s="39" t="s">
        <v>40</v>
      </c>
      <c r="O31" s="39" t="s">
        <v>41</v>
      </c>
      <c r="P31" s="39" t="s">
        <v>42</v>
      </c>
      <c r="Q31" s="47" t="str">
        <f t="shared" si="5"/>
        <v>40*50</v>
      </c>
      <c r="R31" s="50">
        <v>1.0</v>
      </c>
      <c r="S31" s="51">
        <v>0.0</v>
      </c>
      <c r="T31" s="51">
        <v>0.0</v>
      </c>
      <c r="U31" s="51">
        <v>0.0</v>
      </c>
      <c r="V31" s="39" t="s">
        <v>43</v>
      </c>
      <c r="W31" s="47" t="str">
        <f t="shared" si="6"/>
        <v>BLANC - 40*50 - PAS DE REHAUSSE - (Largeur 25mm Profondeur 15mm)</v>
      </c>
      <c r="X31" s="50">
        <v>0.0</v>
      </c>
      <c r="Y31" s="52" t="s">
        <v>44</v>
      </c>
      <c r="Z31" s="47" t="str">
        <f t="shared" si="7"/>
        <v>MARA 25 BLANC 40*50 VERRE</v>
      </c>
      <c r="AA31" s="39" t="s">
        <v>45</v>
      </c>
      <c r="AB31" s="39" t="s">
        <v>46</v>
      </c>
      <c r="AC31" s="47" t="str">
        <f t="shared" si="8"/>
        <v>MARA 25 BLANC 40*50 VERRE</v>
      </c>
      <c r="AD31" s="39" t="s">
        <v>47</v>
      </c>
      <c r="AE31" s="39" t="str">
        <f t="shared" si="9"/>
        <v>ROMY  40*50 BLANC VERRE PAS DE REHAUSSE - CADRES CLASSIQUES - Pas de passepartout - Dos classique sans chevalet (Largeur 25mm Profondeur 15mm)</v>
      </c>
      <c r="AF31" s="39" t="str">
        <f t="shared" si="1"/>
        <v>ROMY  40*50 BLANC VERRE PAS DE REHAUSSE - CADRES CLASSIQUES - Pas de passepartout - Dos classique sans chevalet (Largeur 25mm Profondeur 15mm)</v>
      </c>
      <c r="AG31" s="53">
        <f t="shared" si="10"/>
        <v>15.80594453</v>
      </c>
      <c r="AH31" s="39"/>
      <c r="AI31" s="39"/>
      <c r="AJ31" s="39"/>
      <c r="AK31" s="39"/>
      <c r="AL31" s="39"/>
      <c r="AM31" s="39"/>
      <c r="AN31" s="39"/>
      <c r="AO31" s="39"/>
      <c r="AP31" s="39"/>
    </row>
    <row r="32" ht="15.75" customHeight="1">
      <c r="A32" s="39">
        <v>1039.0</v>
      </c>
      <c r="B32" s="40" t="s">
        <v>36</v>
      </c>
      <c r="C32" s="41" t="s">
        <v>98</v>
      </c>
      <c r="D32" s="42" t="s">
        <v>99</v>
      </c>
      <c r="E32" s="43">
        <v>345707.0</v>
      </c>
      <c r="F32" s="44" t="s">
        <v>99</v>
      </c>
      <c r="G32" s="45">
        <v>3.0</v>
      </c>
      <c r="H32" s="54">
        <v>9.891679525721234</v>
      </c>
      <c r="I32" s="47" t="s">
        <v>39</v>
      </c>
      <c r="J32" s="39" t="str">
        <f t="shared" si="2"/>
        <v>069668 - MARA 25</v>
      </c>
      <c r="K32" s="47">
        <f t="shared" si="3"/>
        <v>18.396</v>
      </c>
      <c r="L32" s="48">
        <v>10.08</v>
      </c>
      <c r="M32" s="49">
        <f t="shared" si="4"/>
        <v>18.396</v>
      </c>
      <c r="N32" s="39" t="s">
        <v>40</v>
      </c>
      <c r="O32" s="39" t="s">
        <v>41</v>
      </c>
      <c r="P32" s="39" t="s">
        <v>42</v>
      </c>
      <c r="Q32" s="47" t="str">
        <f t="shared" si="5"/>
        <v>40*60</v>
      </c>
      <c r="R32" s="50">
        <v>1.0</v>
      </c>
      <c r="S32" s="51">
        <v>0.0</v>
      </c>
      <c r="T32" s="51">
        <v>0.0</v>
      </c>
      <c r="U32" s="51">
        <v>0.0</v>
      </c>
      <c r="V32" s="39" t="s">
        <v>43</v>
      </c>
      <c r="W32" s="47" t="str">
        <f t="shared" si="6"/>
        <v>BLANC - 40*60 - PAS DE REHAUSSE - (Largeur 25mm Profondeur 15mm)</v>
      </c>
      <c r="X32" s="50">
        <v>0.0</v>
      </c>
      <c r="Y32" s="52" t="s">
        <v>44</v>
      </c>
      <c r="Z32" s="47" t="str">
        <f t="shared" si="7"/>
        <v>MARA 25 BLANC 40*60 VERRE</v>
      </c>
      <c r="AA32" s="39" t="s">
        <v>45</v>
      </c>
      <c r="AB32" s="39" t="s">
        <v>46</v>
      </c>
      <c r="AC32" s="47" t="str">
        <f t="shared" si="8"/>
        <v>MARA 25 BLANC 40*60 VERRE</v>
      </c>
      <c r="AD32" s="39" t="s">
        <v>47</v>
      </c>
      <c r="AE32" s="39" t="str">
        <f t="shared" si="9"/>
        <v>ROMY  40*60 BLANC VERRE PAS DE REHAUSSE - CADRES CLASSIQUES - Pas de passepartout - Dos classique sans chevalet (Largeur 25mm Profondeur 15mm)</v>
      </c>
      <c r="AF32" s="39" t="str">
        <f t="shared" si="1"/>
        <v>ROMY  40*60 BLANC VERRE PAS DE REHAUSSE - CADRES CLASSIQUES - Pas de passepartout - Dos classique sans chevalet (Largeur 25mm Profondeur 15mm)</v>
      </c>
      <c r="AG32" s="53">
        <f t="shared" si="10"/>
        <v>17.80502315</v>
      </c>
      <c r="AH32" s="39"/>
      <c r="AI32" s="39"/>
      <c r="AJ32" s="39"/>
      <c r="AK32" s="39"/>
      <c r="AL32" s="39"/>
      <c r="AM32" s="39"/>
      <c r="AN32" s="39"/>
      <c r="AO32" s="39"/>
      <c r="AP32" s="39"/>
    </row>
    <row r="33" ht="15.75" customHeight="1">
      <c r="A33" s="39">
        <v>1040.0</v>
      </c>
      <c r="B33" s="40" t="s">
        <v>36</v>
      </c>
      <c r="C33" s="41" t="s">
        <v>100</v>
      </c>
      <c r="D33" s="42" t="s">
        <v>101</v>
      </c>
      <c r="E33" s="43">
        <v>345707.0</v>
      </c>
      <c r="F33" s="44" t="s">
        <v>101</v>
      </c>
      <c r="G33" s="45">
        <v>6.0</v>
      </c>
      <c r="H33" s="54">
        <v>10.470861720703125</v>
      </c>
      <c r="I33" s="47" t="s">
        <v>39</v>
      </c>
      <c r="J33" s="39" t="str">
        <f t="shared" si="2"/>
        <v>068156 - MARA 25</v>
      </c>
      <c r="K33" s="47">
        <f t="shared" si="3"/>
        <v>19.47275</v>
      </c>
      <c r="L33" s="48">
        <v>10.67</v>
      </c>
      <c r="M33" s="49">
        <f t="shared" si="4"/>
        <v>19.47275</v>
      </c>
      <c r="N33" s="39" t="s">
        <v>40</v>
      </c>
      <c r="O33" s="39" t="s">
        <v>41</v>
      </c>
      <c r="P33" s="39" t="s">
        <v>42</v>
      </c>
      <c r="Q33" s="47" t="str">
        <f t="shared" si="5"/>
        <v>42*59,4</v>
      </c>
      <c r="R33" s="50">
        <v>1.0</v>
      </c>
      <c r="S33" s="51">
        <v>0.0</v>
      </c>
      <c r="T33" s="51">
        <v>0.0</v>
      </c>
      <c r="U33" s="51">
        <v>0.0</v>
      </c>
      <c r="V33" s="39" t="s">
        <v>43</v>
      </c>
      <c r="W33" s="47" t="str">
        <f t="shared" si="6"/>
        <v>BLANC - 42*59,4 - PAS DE REHAUSSE - (Largeur 25mm Profondeur 15mm)</v>
      </c>
      <c r="X33" s="50">
        <v>0.0</v>
      </c>
      <c r="Y33" s="52" t="s">
        <v>44</v>
      </c>
      <c r="Z33" s="47" t="str">
        <f t="shared" si="7"/>
        <v>MARA 25 BLANC 42*59,4 VERRE</v>
      </c>
      <c r="AA33" s="39" t="s">
        <v>45</v>
      </c>
      <c r="AB33" s="39" t="s">
        <v>46</v>
      </c>
      <c r="AC33" s="47" t="str">
        <f t="shared" si="8"/>
        <v>MARA 25 BLANC 42*59,4 VERRE</v>
      </c>
      <c r="AD33" s="39" t="s">
        <v>47</v>
      </c>
      <c r="AE33" s="39" t="str">
        <f t="shared" si="9"/>
        <v>ROMY  42*59,4 BLANC VERRE PAS DE REHAUSSE - CADRES CLASSIQUES - Pas de passepartout - Dos classique sans chevalet (Largeur 25mm Profondeur 15mm)</v>
      </c>
      <c r="AF33" s="39" t="str">
        <f t="shared" si="1"/>
        <v>ROMY  42*59,4 BLANC VERRE PAS DE REHAUSSE - CADRES CLASSIQUES - Pas de passepartout - Dos classique sans chevalet (Largeur 25mm Profondeur 15mm)</v>
      </c>
      <c r="AG33" s="53">
        <f t="shared" si="10"/>
        <v>18.8475511</v>
      </c>
      <c r="AH33" s="39"/>
      <c r="AI33" s="39"/>
      <c r="AJ33" s="39"/>
      <c r="AK33" s="39"/>
      <c r="AL33" s="39"/>
      <c r="AM33" s="39"/>
      <c r="AN33" s="39"/>
      <c r="AO33" s="39"/>
      <c r="AP33" s="39"/>
    </row>
    <row r="34" ht="15.75" customHeight="1">
      <c r="A34" s="39">
        <v>1041.0</v>
      </c>
      <c r="B34" s="40" t="s">
        <v>36</v>
      </c>
      <c r="C34" s="41" t="s">
        <v>102</v>
      </c>
      <c r="D34" s="42" t="s">
        <v>103</v>
      </c>
      <c r="E34" s="43">
        <v>345707.0</v>
      </c>
      <c r="F34" s="44" t="s">
        <v>103</v>
      </c>
      <c r="G34" s="45">
        <v>0.0</v>
      </c>
      <c r="H34" s="54">
        <v>10.848148901733886</v>
      </c>
      <c r="I34" s="47" t="s">
        <v>39</v>
      </c>
      <c r="J34" s="39" t="str">
        <f t="shared" si="2"/>
        <v>069669 - MARA 25</v>
      </c>
      <c r="K34" s="47">
        <f t="shared" si="3"/>
        <v>20.16625</v>
      </c>
      <c r="L34" s="48">
        <v>11.05</v>
      </c>
      <c r="M34" s="49">
        <f t="shared" si="4"/>
        <v>20.16625</v>
      </c>
      <c r="N34" s="39" t="s">
        <v>40</v>
      </c>
      <c r="O34" s="39" t="s">
        <v>41</v>
      </c>
      <c r="P34" s="39" t="s">
        <v>42</v>
      </c>
      <c r="Q34" s="47" t="str">
        <f t="shared" si="5"/>
        <v>46*61</v>
      </c>
      <c r="R34" s="50">
        <v>1.0</v>
      </c>
      <c r="S34" s="51">
        <v>0.0</v>
      </c>
      <c r="T34" s="51">
        <v>0.0</v>
      </c>
      <c r="U34" s="51">
        <v>0.0</v>
      </c>
      <c r="V34" s="39" t="s">
        <v>43</v>
      </c>
      <c r="W34" s="47" t="str">
        <f t="shared" si="6"/>
        <v>BLANC - 46*61 - PAS DE REHAUSSE - (Largeur 25mm Profondeur 15mm)</v>
      </c>
      <c r="X34" s="50">
        <v>0.0</v>
      </c>
      <c r="Y34" s="52" t="s">
        <v>44</v>
      </c>
      <c r="Z34" s="47" t="str">
        <f t="shared" si="7"/>
        <v>MARA 25 BLANC 46*61 VERRE</v>
      </c>
      <c r="AA34" s="39" t="s">
        <v>45</v>
      </c>
      <c r="AB34" s="39" t="s">
        <v>46</v>
      </c>
      <c r="AC34" s="47" t="str">
        <f t="shared" si="8"/>
        <v>MARA 25 BLANC 46*61 VERRE</v>
      </c>
      <c r="AD34" s="39" t="s">
        <v>47</v>
      </c>
      <c r="AE34" s="39" t="str">
        <f t="shared" si="9"/>
        <v>ROMY  46*61 BLANC VERRE PAS DE REHAUSSE - CADRES CLASSIQUES - Pas de passepartout - Dos classique sans chevalet (Largeur 25mm Profondeur 15mm)</v>
      </c>
      <c r="AF34" s="39" t="str">
        <f t="shared" si="1"/>
        <v>ROMY  46*61 BLANC VERRE PAS DE REHAUSSE - CADRES CLASSIQUES - Pas de passepartout - Dos classique sans chevalet (Largeur 25mm Profondeur 15mm)</v>
      </c>
      <c r="AG34" s="53">
        <f t="shared" si="10"/>
        <v>19.52666802</v>
      </c>
      <c r="AH34" s="39"/>
      <c r="AI34" s="39"/>
      <c r="AJ34" s="39"/>
      <c r="AK34" s="39"/>
      <c r="AL34" s="39"/>
      <c r="AM34" s="39"/>
      <c r="AN34" s="39"/>
      <c r="AO34" s="39"/>
      <c r="AP34" s="39"/>
    </row>
    <row r="35" ht="15.75" customHeight="1">
      <c r="A35" s="39">
        <v>1042.0</v>
      </c>
      <c r="B35" s="40" t="s">
        <v>36</v>
      </c>
      <c r="C35" s="41" t="s">
        <v>104</v>
      </c>
      <c r="D35" s="42" t="s">
        <v>105</v>
      </c>
      <c r="E35" s="43">
        <v>345707.0</v>
      </c>
      <c r="F35" s="44" t="s">
        <v>105</v>
      </c>
      <c r="G35" s="45">
        <v>6.0</v>
      </c>
      <c r="H35" s="54">
        <v>10.03284518663876</v>
      </c>
      <c r="I35" s="47" t="s">
        <v>39</v>
      </c>
      <c r="J35" s="39" t="str">
        <f t="shared" si="2"/>
        <v>069670 - MARA 25</v>
      </c>
      <c r="K35" s="47">
        <f t="shared" si="3"/>
        <v>18.6515</v>
      </c>
      <c r="L35" s="48">
        <v>10.22</v>
      </c>
      <c r="M35" s="49">
        <f t="shared" si="4"/>
        <v>18.6515</v>
      </c>
      <c r="N35" s="39" t="s">
        <v>40</v>
      </c>
      <c r="O35" s="39" t="s">
        <v>41</v>
      </c>
      <c r="P35" s="39" t="s">
        <v>42</v>
      </c>
      <c r="Q35" s="47" t="str">
        <f t="shared" si="5"/>
        <v>50*50</v>
      </c>
      <c r="R35" s="50">
        <v>1.0</v>
      </c>
      <c r="S35" s="51">
        <v>0.0</v>
      </c>
      <c r="T35" s="51">
        <v>0.0</v>
      </c>
      <c r="U35" s="51">
        <v>0.0</v>
      </c>
      <c r="V35" s="39" t="s">
        <v>43</v>
      </c>
      <c r="W35" s="47" t="str">
        <f t="shared" si="6"/>
        <v>BLANC - 50*50 - PAS DE REHAUSSE - (Largeur 25mm Profondeur 15mm)</v>
      </c>
      <c r="X35" s="50">
        <v>0.0</v>
      </c>
      <c r="Y35" s="52" t="s">
        <v>44</v>
      </c>
      <c r="Z35" s="47" t="str">
        <f t="shared" si="7"/>
        <v>MARA 25 BLANC 50*50 VERRE</v>
      </c>
      <c r="AA35" s="39" t="s">
        <v>45</v>
      </c>
      <c r="AB35" s="39" t="s">
        <v>46</v>
      </c>
      <c r="AC35" s="47" t="str">
        <f t="shared" si="8"/>
        <v>MARA 25 BLANC 50*50 VERRE</v>
      </c>
      <c r="AD35" s="39" t="s">
        <v>47</v>
      </c>
      <c r="AE35" s="39" t="str">
        <f t="shared" si="9"/>
        <v>ROMY  50*50 BLANC VERRE PAS DE REHAUSSE - CADRES CLASSIQUES - Pas de passepartout - Dos classique sans chevalet (Largeur 25mm Profondeur 15mm)</v>
      </c>
      <c r="AF35" s="39" t="str">
        <f t="shared" si="1"/>
        <v>ROMY  50*50 BLANC VERRE PAS DE REHAUSSE - CADRES CLASSIQUES - Pas de passepartout - Dos classique sans chevalet (Largeur 25mm Profondeur 15mm)</v>
      </c>
      <c r="AG35" s="53">
        <f t="shared" si="10"/>
        <v>18.05912134</v>
      </c>
      <c r="AH35" s="39"/>
      <c r="AI35" s="39"/>
      <c r="AJ35" s="39"/>
      <c r="AK35" s="39"/>
      <c r="AL35" s="39"/>
      <c r="AM35" s="39"/>
      <c r="AN35" s="39"/>
      <c r="AO35" s="39"/>
      <c r="AP35" s="39"/>
    </row>
    <row r="36" ht="15.75" customHeight="1">
      <c r="A36" s="39">
        <v>1043.0</v>
      </c>
      <c r="B36" s="40" t="s">
        <v>36</v>
      </c>
      <c r="C36" s="41" t="s">
        <v>106</v>
      </c>
      <c r="D36" s="42" t="s">
        <v>107</v>
      </c>
      <c r="E36" s="43">
        <v>345707.0</v>
      </c>
      <c r="F36" s="44" t="s">
        <v>107</v>
      </c>
      <c r="G36" s="45">
        <v>3.0</v>
      </c>
      <c r="H36" s="54">
        <v>11.28461007783604</v>
      </c>
      <c r="I36" s="47" t="s">
        <v>39</v>
      </c>
      <c r="J36" s="39" t="str">
        <f t="shared" si="2"/>
        <v>069671 - MARA 25</v>
      </c>
      <c r="K36" s="47">
        <f t="shared" si="3"/>
        <v>20.9875</v>
      </c>
      <c r="L36" s="48">
        <v>11.5</v>
      </c>
      <c r="M36" s="49">
        <f t="shared" si="4"/>
        <v>20.9875</v>
      </c>
      <c r="N36" s="39" t="s">
        <v>40</v>
      </c>
      <c r="O36" s="39" t="s">
        <v>41</v>
      </c>
      <c r="P36" s="39" t="s">
        <v>42</v>
      </c>
      <c r="Q36" s="47" t="str">
        <f t="shared" si="5"/>
        <v>50*60</v>
      </c>
      <c r="R36" s="50">
        <v>1.0</v>
      </c>
      <c r="S36" s="51">
        <v>0.0</v>
      </c>
      <c r="T36" s="51">
        <v>0.0</v>
      </c>
      <c r="U36" s="51">
        <v>0.0</v>
      </c>
      <c r="V36" s="39" t="s">
        <v>43</v>
      </c>
      <c r="W36" s="47" t="str">
        <f t="shared" si="6"/>
        <v>BLANC - 50*60 - PAS DE REHAUSSE - (Largeur 25mm Profondeur 15mm)</v>
      </c>
      <c r="X36" s="50">
        <v>0.0</v>
      </c>
      <c r="Y36" s="52" t="s">
        <v>44</v>
      </c>
      <c r="Z36" s="47" t="str">
        <f t="shared" si="7"/>
        <v>MARA 25 BLANC 50*60 VERRE</v>
      </c>
      <c r="AA36" s="39" t="s">
        <v>45</v>
      </c>
      <c r="AB36" s="39" t="s">
        <v>46</v>
      </c>
      <c r="AC36" s="47" t="str">
        <f t="shared" si="8"/>
        <v>MARA 25 BLANC 50*60 VERRE</v>
      </c>
      <c r="AD36" s="39" t="s">
        <v>47</v>
      </c>
      <c r="AE36" s="39" t="str">
        <f t="shared" si="9"/>
        <v>ROMY  50*60 BLANC VERRE PAS DE REHAUSSE - CADRES CLASSIQUES - Pas de passepartout - Dos classique sans chevalet (Largeur 25mm Profondeur 15mm)</v>
      </c>
      <c r="AF36" s="39" t="str">
        <f t="shared" si="1"/>
        <v>ROMY  50*60 BLANC VERRE PAS DE REHAUSSE - CADRES CLASSIQUES - Pas de passepartout - Dos classique sans chevalet (Largeur 25mm Profondeur 15mm)</v>
      </c>
      <c r="AG36" s="53">
        <f t="shared" si="10"/>
        <v>20.31229814</v>
      </c>
      <c r="AH36" s="39"/>
      <c r="AI36" s="39"/>
      <c r="AJ36" s="39"/>
      <c r="AK36" s="39"/>
      <c r="AL36" s="39"/>
      <c r="AM36" s="39"/>
      <c r="AN36" s="39"/>
      <c r="AO36" s="39"/>
      <c r="AP36" s="39"/>
    </row>
    <row r="37" ht="15.75" customHeight="1">
      <c r="A37" s="39">
        <v>1044.0</v>
      </c>
      <c r="B37" s="40" t="s">
        <v>36</v>
      </c>
      <c r="C37" s="41" t="s">
        <v>108</v>
      </c>
      <c r="D37" s="42" t="s">
        <v>109</v>
      </c>
      <c r="E37" s="43">
        <v>345707.0</v>
      </c>
      <c r="F37" s="44" t="s">
        <v>109</v>
      </c>
      <c r="G37" s="45">
        <v>0.0</v>
      </c>
      <c r="H37" s="54">
        <v>11.902569960832176</v>
      </c>
      <c r="I37" s="47" t="s">
        <v>39</v>
      </c>
      <c r="J37" s="39" t="str">
        <f t="shared" si="2"/>
        <v>069672 - MARA 25</v>
      </c>
      <c r="K37" s="47">
        <f t="shared" si="3"/>
        <v>22.13725</v>
      </c>
      <c r="L37" s="48">
        <v>12.13</v>
      </c>
      <c r="M37" s="49">
        <f t="shared" si="4"/>
        <v>22.13725</v>
      </c>
      <c r="N37" s="39" t="s">
        <v>40</v>
      </c>
      <c r="O37" s="39" t="s">
        <v>41</v>
      </c>
      <c r="P37" s="39" t="s">
        <v>42</v>
      </c>
      <c r="Q37" s="47" t="str">
        <f t="shared" si="5"/>
        <v>50*65</v>
      </c>
      <c r="R37" s="50">
        <v>1.0</v>
      </c>
      <c r="S37" s="51">
        <v>0.0</v>
      </c>
      <c r="T37" s="51">
        <v>0.0</v>
      </c>
      <c r="U37" s="51">
        <v>0.0</v>
      </c>
      <c r="V37" s="39" t="s">
        <v>43</v>
      </c>
      <c r="W37" s="47" t="str">
        <f t="shared" si="6"/>
        <v>BLANC - 50*65 - PAS DE REHAUSSE - (Largeur 25mm Profondeur 15mm)</v>
      </c>
      <c r="X37" s="50">
        <v>0.0</v>
      </c>
      <c r="Y37" s="52" t="s">
        <v>44</v>
      </c>
      <c r="Z37" s="47" t="str">
        <f t="shared" si="7"/>
        <v>MARA 25 BLANC 50*65 VERRE</v>
      </c>
      <c r="AA37" s="39" t="s">
        <v>45</v>
      </c>
      <c r="AB37" s="39" t="s">
        <v>46</v>
      </c>
      <c r="AC37" s="47" t="str">
        <f t="shared" si="8"/>
        <v>MARA 25 BLANC 50*65 VERRE</v>
      </c>
      <c r="AD37" s="39" t="s">
        <v>47</v>
      </c>
      <c r="AE37" s="39" t="str">
        <f t="shared" si="9"/>
        <v>ROMY  50*65 BLANC VERRE PAS DE REHAUSSE - CADRES CLASSIQUES - Pas de passepartout - Dos classique sans chevalet (Largeur 25mm Profondeur 15mm)</v>
      </c>
      <c r="AF37" s="39" t="str">
        <f t="shared" si="1"/>
        <v>ROMY  50*65 BLANC VERRE PAS DE REHAUSSE - CADRES CLASSIQUES - Pas de passepartout - Dos classique sans chevalet (Largeur 25mm Profondeur 15mm)</v>
      </c>
      <c r="AG37" s="53">
        <f t="shared" si="10"/>
        <v>21.42462593</v>
      </c>
      <c r="AH37" s="39"/>
      <c r="AI37" s="39"/>
      <c r="AJ37" s="39"/>
      <c r="AK37" s="39"/>
      <c r="AL37" s="39"/>
      <c r="AM37" s="39"/>
      <c r="AN37" s="39"/>
      <c r="AO37" s="39"/>
      <c r="AP37" s="39"/>
    </row>
    <row r="38" ht="15.75" customHeight="1">
      <c r="A38" s="39">
        <v>1045.0</v>
      </c>
      <c r="B38" s="40" t="s">
        <v>36</v>
      </c>
      <c r="C38" s="41" t="s">
        <v>110</v>
      </c>
      <c r="D38" s="42" t="s">
        <v>111</v>
      </c>
      <c r="E38" s="43">
        <v>345707.0</v>
      </c>
      <c r="F38" s="44" t="s">
        <v>111</v>
      </c>
      <c r="G38" s="45">
        <v>7.0</v>
      </c>
      <c r="H38" s="54">
        <v>12.543577298671984</v>
      </c>
      <c r="I38" s="47" t="s">
        <v>39</v>
      </c>
      <c r="J38" s="39" t="str">
        <f t="shared" si="2"/>
        <v>069673 - MARA 25</v>
      </c>
      <c r="K38" s="47">
        <f t="shared" si="3"/>
        <v>23.3235</v>
      </c>
      <c r="L38" s="48">
        <v>12.78</v>
      </c>
      <c r="M38" s="49">
        <f t="shared" si="4"/>
        <v>23.3235</v>
      </c>
      <c r="N38" s="39" t="s">
        <v>40</v>
      </c>
      <c r="O38" s="39" t="s">
        <v>41</v>
      </c>
      <c r="P38" s="39" t="s">
        <v>42</v>
      </c>
      <c r="Q38" s="47" t="str">
        <f t="shared" si="5"/>
        <v>50*70</v>
      </c>
      <c r="R38" s="50">
        <v>1.0</v>
      </c>
      <c r="S38" s="51">
        <v>0.0</v>
      </c>
      <c r="T38" s="51">
        <v>0.0</v>
      </c>
      <c r="U38" s="51">
        <v>0.0</v>
      </c>
      <c r="V38" s="39" t="s">
        <v>43</v>
      </c>
      <c r="W38" s="47" t="str">
        <f t="shared" si="6"/>
        <v>BLANC - 50*70 - PAS DE REHAUSSE - (Largeur 25mm Profondeur 15mm)</v>
      </c>
      <c r="X38" s="50">
        <v>0.0</v>
      </c>
      <c r="Y38" s="52" t="s">
        <v>44</v>
      </c>
      <c r="Z38" s="47" t="str">
        <f t="shared" si="7"/>
        <v>MARA 25 BLANC 50*70 VERRE</v>
      </c>
      <c r="AA38" s="39" t="s">
        <v>45</v>
      </c>
      <c r="AB38" s="39" t="s">
        <v>46</v>
      </c>
      <c r="AC38" s="47" t="str">
        <f t="shared" si="8"/>
        <v>MARA 25 BLANC 50*70 VERRE</v>
      </c>
      <c r="AD38" s="39" t="s">
        <v>47</v>
      </c>
      <c r="AE38" s="39" t="str">
        <f t="shared" si="9"/>
        <v>ROMY  50*70 BLANC VERRE PAS DE REHAUSSE - CADRES CLASSIQUES - Pas de passepartout - Dos classique sans chevalet (Largeur 25mm Profondeur 15mm)</v>
      </c>
      <c r="AF38" s="39" t="str">
        <f t="shared" si="1"/>
        <v>ROMY  50*70 BLANC VERRE PAS DE REHAUSSE - CADRES CLASSIQUES - Pas de passepartout - Dos classique sans chevalet (Largeur 25mm Profondeur 15mm)</v>
      </c>
      <c r="AG38" s="53">
        <f t="shared" si="10"/>
        <v>22.57843914</v>
      </c>
      <c r="AH38" s="39"/>
      <c r="AI38" s="39"/>
      <c r="AJ38" s="39"/>
      <c r="AK38" s="39"/>
      <c r="AL38" s="39"/>
      <c r="AM38" s="39"/>
      <c r="AN38" s="39"/>
      <c r="AO38" s="39"/>
      <c r="AP38" s="39"/>
    </row>
    <row r="39" ht="15.75" customHeight="1">
      <c r="A39" s="39">
        <v>1046.0</v>
      </c>
      <c r="B39" s="40" t="s">
        <v>36</v>
      </c>
      <c r="C39" s="41" t="s">
        <v>112</v>
      </c>
      <c r="D39" s="42" t="s">
        <v>113</v>
      </c>
      <c r="E39" s="43">
        <v>345707.0</v>
      </c>
      <c r="F39" s="44" t="s">
        <v>113</v>
      </c>
      <c r="G39" s="45">
        <v>8.0</v>
      </c>
      <c r="H39" s="54">
        <v>12.794448844645425</v>
      </c>
      <c r="I39" s="47" t="s">
        <v>39</v>
      </c>
      <c r="J39" s="39" t="str">
        <f t="shared" si="2"/>
        <v>054317 - MARA 25</v>
      </c>
      <c r="K39" s="47">
        <f t="shared" si="3"/>
        <v>23.798</v>
      </c>
      <c r="L39" s="48">
        <v>13.04</v>
      </c>
      <c r="M39" s="49">
        <f t="shared" si="4"/>
        <v>23.798</v>
      </c>
      <c r="N39" s="39" t="s">
        <v>40</v>
      </c>
      <c r="O39" s="39" t="s">
        <v>41</v>
      </c>
      <c r="P39" s="39" t="s">
        <v>42</v>
      </c>
      <c r="Q39" s="47" t="str">
        <f t="shared" si="5"/>
        <v>60*60</v>
      </c>
      <c r="R39" s="50">
        <v>1.0</v>
      </c>
      <c r="S39" s="51">
        <v>0.0</v>
      </c>
      <c r="T39" s="51">
        <v>0.0</v>
      </c>
      <c r="U39" s="51">
        <v>0.0</v>
      </c>
      <c r="V39" s="39" t="s">
        <v>43</v>
      </c>
      <c r="W39" s="47" t="str">
        <f t="shared" si="6"/>
        <v>BLANC - 60*60 - PAS DE REHAUSSE - (Largeur 25mm Profondeur 15mm)</v>
      </c>
      <c r="X39" s="50">
        <v>0.0</v>
      </c>
      <c r="Y39" s="52" t="s">
        <v>44</v>
      </c>
      <c r="Z39" s="47" t="str">
        <f t="shared" si="7"/>
        <v>MARA 25 BLANC 60*60 VERRE</v>
      </c>
      <c r="AA39" s="39" t="s">
        <v>45</v>
      </c>
      <c r="AB39" s="39" t="s">
        <v>46</v>
      </c>
      <c r="AC39" s="47" t="str">
        <f t="shared" si="8"/>
        <v>MARA 25 BLANC 60*60 VERRE</v>
      </c>
      <c r="AD39" s="39" t="s">
        <v>47</v>
      </c>
      <c r="AE39" s="39" t="str">
        <f t="shared" si="9"/>
        <v>ROMY  60*60 BLANC VERRE PAS DE REHAUSSE - CADRES CLASSIQUES - Pas de passepartout - Dos classique sans chevalet (Largeur 25mm Profondeur 15mm)</v>
      </c>
      <c r="AF39" s="39" t="str">
        <f t="shared" si="1"/>
        <v>ROMY  60*60 BLANC VERRE PAS DE REHAUSSE - CADRES CLASSIQUES - Pas de passepartout - Dos classique sans chevalet (Largeur 25mm Profondeur 15mm)</v>
      </c>
      <c r="AG39" s="53">
        <f t="shared" si="10"/>
        <v>23.03000792</v>
      </c>
      <c r="AH39" s="39"/>
      <c r="AI39" s="39"/>
      <c r="AJ39" s="39"/>
      <c r="AK39" s="39"/>
      <c r="AL39" s="39"/>
      <c r="AM39" s="39"/>
      <c r="AN39" s="39"/>
      <c r="AO39" s="39"/>
      <c r="AP39" s="39"/>
    </row>
    <row r="40" ht="15.75" customHeight="1">
      <c r="A40" s="39">
        <v>1047.0</v>
      </c>
      <c r="B40" s="40" t="s">
        <v>36</v>
      </c>
      <c r="C40" s="41" t="s">
        <v>114</v>
      </c>
      <c r="D40" s="42" t="s">
        <v>115</v>
      </c>
      <c r="E40" s="43">
        <v>345707.0</v>
      </c>
      <c r="F40" s="44" t="s">
        <v>115</v>
      </c>
      <c r="G40" s="45">
        <v>4.0</v>
      </c>
      <c r="H40" s="54">
        <v>15.45763987046957</v>
      </c>
      <c r="I40" s="47" t="s">
        <v>39</v>
      </c>
      <c r="J40" s="39" t="str">
        <f t="shared" si="2"/>
        <v>069674 - MARA 25</v>
      </c>
      <c r="K40" s="47">
        <f t="shared" si="3"/>
        <v>28.74375</v>
      </c>
      <c r="L40" s="48">
        <v>15.75</v>
      </c>
      <c r="M40" s="49">
        <f t="shared" si="4"/>
        <v>28.74375</v>
      </c>
      <c r="N40" s="39" t="s">
        <v>40</v>
      </c>
      <c r="O40" s="39" t="s">
        <v>41</v>
      </c>
      <c r="P40" s="39" t="s">
        <v>42</v>
      </c>
      <c r="Q40" s="47" t="str">
        <f t="shared" si="5"/>
        <v>60*80</v>
      </c>
      <c r="R40" s="50">
        <v>1.0</v>
      </c>
      <c r="S40" s="51">
        <v>0.0</v>
      </c>
      <c r="T40" s="51">
        <v>0.0</v>
      </c>
      <c r="U40" s="51">
        <v>0.0</v>
      </c>
      <c r="V40" s="39" t="s">
        <v>43</v>
      </c>
      <c r="W40" s="47" t="str">
        <f t="shared" si="6"/>
        <v>BLANC - 60*80 - PAS DE REHAUSSE - (Largeur 25mm Profondeur 15mm)</v>
      </c>
      <c r="X40" s="50">
        <v>0.0</v>
      </c>
      <c r="Y40" s="52" t="s">
        <v>44</v>
      </c>
      <c r="Z40" s="47" t="str">
        <f t="shared" si="7"/>
        <v>MARA 25 BLANC 60*80 VERRE</v>
      </c>
      <c r="AA40" s="39" t="s">
        <v>45</v>
      </c>
      <c r="AB40" s="39" t="s">
        <v>46</v>
      </c>
      <c r="AC40" s="47" t="str">
        <f t="shared" si="8"/>
        <v>MARA 25 BLANC 60*80 VERRE</v>
      </c>
      <c r="AD40" s="39" t="s">
        <v>47</v>
      </c>
      <c r="AE40" s="39" t="str">
        <f t="shared" si="9"/>
        <v>ROMY  60*80 BLANC VERRE PAS DE REHAUSSE - CADRES CLASSIQUES - Pas de passepartout - Dos classique sans chevalet (Largeur 25mm Profondeur 15mm)</v>
      </c>
      <c r="AF40" s="39" t="str">
        <f t="shared" si="1"/>
        <v>ROMY  60*80 BLANC VERRE PAS DE REHAUSSE - CADRES CLASSIQUES - Pas de passepartout - Dos classique sans chevalet (Largeur 25mm Profondeur 15mm)</v>
      </c>
      <c r="AG40" s="53">
        <f t="shared" si="10"/>
        <v>27.82375177</v>
      </c>
      <c r="AH40" s="39"/>
      <c r="AI40" s="39"/>
      <c r="AJ40" s="39"/>
      <c r="AK40" s="39"/>
      <c r="AL40" s="39"/>
      <c r="AM40" s="39"/>
      <c r="AN40" s="39"/>
      <c r="AO40" s="39"/>
      <c r="AP40" s="39"/>
    </row>
    <row r="41" ht="15.75" customHeight="1">
      <c r="A41" s="39">
        <v>1048.0</v>
      </c>
      <c r="B41" s="40" t="s">
        <v>36</v>
      </c>
      <c r="C41" s="41" t="s">
        <v>116</v>
      </c>
      <c r="D41" s="42" t="s">
        <v>117</v>
      </c>
      <c r="E41" s="43">
        <v>345707.0</v>
      </c>
      <c r="F41" s="44" t="s">
        <v>117</v>
      </c>
      <c r="G41" s="45">
        <v>1.0</v>
      </c>
      <c r="H41" s="54">
        <v>19.789120915153383</v>
      </c>
      <c r="I41" s="47" t="s">
        <v>39</v>
      </c>
      <c r="J41" s="39" t="str">
        <f t="shared" si="2"/>
        <v>069675 - MARA 25</v>
      </c>
      <c r="K41" s="47">
        <f t="shared" si="3"/>
        <v>36.81025</v>
      </c>
      <c r="L41" s="48">
        <v>20.17</v>
      </c>
      <c r="M41" s="49">
        <f t="shared" si="4"/>
        <v>36.81025</v>
      </c>
      <c r="N41" s="39" t="s">
        <v>40</v>
      </c>
      <c r="O41" s="39" t="s">
        <v>41</v>
      </c>
      <c r="P41" s="39" t="s">
        <v>42</v>
      </c>
      <c r="Q41" s="47" t="str">
        <f t="shared" si="5"/>
        <v>61*91,5</v>
      </c>
      <c r="R41" s="50">
        <v>1.0</v>
      </c>
      <c r="S41" s="51">
        <v>0.0</v>
      </c>
      <c r="T41" s="51">
        <v>0.0</v>
      </c>
      <c r="U41" s="51">
        <v>0.0</v>
      </c>
      <c r="V41" s="39" t="s">
        <v>43</v>
      </c>
      <c r="W41" s="47" t="str">
        <f t="shared" si="6"/>
        <v>BLANC - 61*91,5 - PAS DE REHAUSSE - (Largeur 25mm Profondeur 15mm)</v>
      </c>
      <c r="X41" s="50">
        <v>0.0</v>
      </c>
      <c r="Y41" s="52" t="s">
        <v>44</v>
      </c>
      <c r="Z41" s="47" t="str">
        <f t="shared" si="7"/>
        <v>MARA 25 BLANC 61*91,5 VERRE</v>
      </c>
      <c r="AA41" s="39" t="s">
        <v>45</v>
      </c>
      <c r="AB41" s="39" t="s">
        <v>46</v>
      </c>
      <c r="AC41" s="47" t="str">
        <f t="shared" si="8"/>
        <v>MARA 25 BLANC 61*91,5 VERRE</v>
      </c>
      <c r="AD41" s="39" t="s">
        <v>47</v>
      </c>
      <c r="AE41" s="39" t="str">
        <f t="shared" si="9"/>
        <v>ROMY  61*91,5 BLANC VERRE PAS DE REHAUSSE - CADRES CLASSIQUES - Pas de passepartout - Dos classique sans chevalet (Largeur 25mm Profondeur 15mm)</v>
      </c>
      <c r="AF41" s="39" t="str">
        <f t="shared" si="1"/>
        <v>ROMY  61*91,5 BLANC VERRE PAS DE REHAUSSE - CADRES CLASSIQUES - Pas de passepartout - Dos classique sans chevalet (Largeur 25mm Profondeur 15mm)</v>
      </c>
      <c r="AG41" s="53">
        <f t="shared" si="10"/>
        <v>35.62041765</v>
      </c>
      <c r="AH41" s="39"/>
      <c r="AI41" s="39"/>
      <c r="AJ41" s="39"/>
      <c r="AK41" s="39"/>
      <c r="AL41" s="39"/>
      <c r="AM41" s="39"/>
      <c r="AN41" s="39"/>
      <c r="AO41" s="39"/>
      <c r="AP41" s="39"/>
    </row>
    <row r="42" ht="15.75" customHeight="1">
      <c r="A42" s="39">
        <v>1049.0</v>
      </c>
      <c r="B42" s="40" t="s">
        <v>36</v>
      </c>
      <c r="C42" s="41" t="s">
        <v>118</v>
      </c>
      <c r="D42" s="42" t="s">
        <v>119</v>
      </c>
      <c r="E42" s="43">
        <v>345707.0</v>
      </c>
      <c r="F42" s="44" t="s">
        <v>119</v>
      </c>
      <c r="G42" s="45">
        <v>8.0</v>
      </c>
      <c r="H42" s="54">
        <v>15.600245997314829</v>
      </c>
      <c r="I42" s="47" t="s">
        <v>39</v>
      </c>
      <c r="J42" s="39" t="str">
        <f t="shared" si="2"/>
        <v>069676 - MARA 25</v>
      </c>
      <c r="K42" s="47">
        <f t="shared" si="3"/>
        <v>29.0175</v>
      </c>
      <c r="L42" s="48">
        <v>15.9</v>
      </c>
      <c r="M42" s="49">
        <f t="shared" si="4"/>
        <v>29.0175</v>
      </c>
      <c r="N42" s="39" t="s">
        <v>40</v>
      </c>
      <c r="O42" s="39" t="s">
        <v>41</v>
      </c>
      <c r="P42" s="39" t="s">
        <v>42</v>
      </c>
      <c r="Q42" s="47" t="str">
        <f t="shared" si="5"/>
        <v>70*70</v>
      </c>
      <c r="R42" s="50">
        <v>1.0</v>
      </c>
      <c r="S42" s="51">
        <v>0.0</v>
      </c>
      <c r="T42" s="51">
        <v>0.0</v>
      </c>
      <c r="U42" s="51">
        <v>0.0</v>
      </c>
      <c r="V42" s="39" t="s">
        <v>43</v>
      </c>
      <c r="W42" s="47" t="str">
        <f t="shared" si="6"/>
        <v>BLANC - 70*70 - PAS DE REHAUSSE - (Largeur 25mm Profondeur 15mm)</v>
      </c>
      <c r="X42" s="50">
        <v>0.0</v>
      </c>
      <c r="Y42" s="52" t="s">
        <v>44</v>
      </c>
      <c r="Z42" s="47" t="str">
        <f t="shared" si="7"/>
        <v>MARA 25 BLANC 70*70 VERRE</v>
      </c>
      <c r="AA42" s="39" t="s">
        <v>45</v>
      </c>
      <c r="AB42" s="39" t="s">
        <v>46</v>
      </c>
      <c r="AC42" s="47" t="str">
        <f t="shared" si="8"/>
        <v>MARA 25 BLANC 70*70 VERRE</v>
      </c>
      <c r="AD42" s="39" t="s">
        <v>47</v>
      </c>
      <c r="AE42" s="39" t="str">
        <f t="shared" si="9"/>
        <v>ROMY  70*70 BLANC VERRE PAS DE REHAUSSE - CADRES CLASSIQUES - Pas de passepartout - Dos classique sans chevalet (Largeur 25mm Profondeur 15mm)</v>
      </c>
      <c r="AF42" s="39" t="str">
        <f t="shared" si="1"/>
        <v>ROMY  70*70 BLANC VERRE PAS DE REHAUSSE - CADRES CLASSIQUES - Pas de passepartout - Dos classique sans chevalet (Largeur 25mm Profondeur 15mm)</v>
      </c>
      <c r="AG42" s="53">
        <f t="shared" si="10"/>
        <v>28.0804428</v>
      </c>
      <c r="AH42" s="39"/>
      <c r="AI42" s="39"/>
      <c r="AJ42" s="39"/>
      <c r="AK42" s="39"/>
      <c r="AL42" s="39"/>
      <c r="AM42" s="39"/>
      <c r="AN42" s="39"/>
      <c r="AO42" s="39"/>
      <c r="AP42" s="39"/>
    </row>
    <row r="43" ht="15.75" customHeight="1">
      <c r="A43" s="39">
        <v>1050.0</v>
      </c>
      <c r="B43" s="40" t="s">
        <v>36</v>
      </c>
      <c r="C43" s="41" t="s">
        <v>120</v>
      </c>
      <c r="D43" s="42" t="s">
        <v>121</v>
      </c>
      <c r="E43" s="43">
        <v>345707.0</v>
      </c>
      <c r="F43" s="44" t="s">
        <v>121</v>
      </c>
      <c r="G43" s="45">
        <v>5.0</v>
      </c>
      <c r="H43" s="54">
        <v>16.29166964262518</v>
      </c>
      <c r="I43" s="47" t="s">
        <v>39</v>
      </c>
      <c r="J43" s="39" t="str">
        <f t="shared" si="2"/>
        <v>069677 - MARA 25</v>
      </c>
      <c r="K43" s="47">
        <f t="shared" si="3"/>
        <v>30.295</v>
      </c>
      <c r="L43" s="48">
        <v>16.6</v>
      </c>
      <c r="M43" s="49">
        <f t="shared" si="4"/>
        <v>30.295</v>
      </c>
      <c r="N43" s="39" t="s">
        <v>40</v>
      </c>
      <c r="O43" s="39" t="s">
        <v>41</v>
      </c>
      <c r="P43" s="39" t="s">
        <v>42</v>
      </c>
      <c r="Q43" s="47" t="str">
        <f t="shared" si="5"/>
        <v>50*100</v>
      </c>
      <c r="R43" s="50">
        <v>1.0</v>
      </c>
      <c r="S43" s="51">
        <v>0.0</v>
      </c>
      <c r="T43" s="51">
        <v>0.0</v>
      </c>
      <c r="U43" s="51">
        <v>0.0</v>
      </c>
      <c r="V43" s="39" t="s">
        <v>43</v>
      </c>
      <c r="W43" s="47" t="str">
        <f t="shared" si="6"/>
        <v>BLANC - 50*100 - PAS DE REHAUSSE - (Largeur 25mm Profondeur 15mm)</v>
      </c>
      <c r="X43" s="50">
        <v>0.0</v>
      </c>
      <c r="Y43" s="52" t="s">
        <v>44</v>
      </c>
      <c r="Z43" s="47" t="str">
        <f t="shared" si="7"/>
        <v>MARA 25 BLANC 50*100 VERRE</v>
      </c>
      <c r="AA43" s="39" t="s">
        <v>45</v>
      </c>
      <c r="AB43" s="39" t="s">
        <v>46</v>
      </c>
      <c r="AC43" s="47" t="str">
        <f t="shared" si="8"/>
        <v>MARA 25 BLANC 50*100 VERRE</v>
      </c>
      <c r="AD43" s="39" t="s">
        <v>47</v>
      </c>
      <c r="AE43" s="39" t="str">
        <f t="shared" si="9"/>
        <v>ROMY  50*100 BLANC VERRE PAS DE REHAUSSE - CADRES CLASSIQUES - Pas de passepartout - Dos classique sans chevalet (Largeur 25mm Profondeur 15mm)</v>
      </c>
      <c r="AF43" s="39" t="str">
        <f t="shared" si="1"/>
        <v>ROMY  50*100 BLANC VERRE PAS DE REHAUSSE - CADRES CLASSIQUES - Pas de passepartout - Dos classique sans chevalet (Largeur 25mm Profondeur 15mm)</v>
      </c>
      <c r="AG43" s="53">
        <f t="shared" si="10"/>
        <v>29.32500536</v>
      </c>
      <c r="AH43" s="39"/>
      <c r="AI43" s="39"/>
      <c r="AJ43" s="39"/>
      <c r="AK43" s="39"/>
      <c r="AL43" s="39"/>
      <c r="AM43" s="39"/>
      <c r="AN43" s="39"/>
      <c r="AO43" s="39"/>
      <c r="AP43" s="39"/>
    </row>
    <row r="44" ht="15.75" customHeight="1">
      <c r="A44" s="39">
        <v>1051.0</v>
      </c>
      <c r="B44" s="40" t="s">
        <v>36</v>
      </c>
      <c r="C44" s="41" t="s">
        <v>122</v>
      </c>
      <c r="D44" s="42" t="s">
        <v>123</v>
      </c>
      <c r="E44" s="43">
        <v>345707.0</v>
      </c>
      <c r="F44" s="44" t="s">
        <v>123</v>
      </c>
      <c r="G44" s="45">
        <v>2.0</v>
      </c>
      <c r="H44" s="54">
        <v>20.175165783785</v>
      </c>
      <c r="I44" s="47" t="s">
        <v>39</v>
      </c>
      <c r="J44" s="39" t="str">
        <f t="shared" si="2"/>
        <v>069678 - MARA 25</v>
      </c>
      <c r="K44" s="47">
        <f t="shared" si="3"/>
        <v>37.522</v>
      </c>
      <c r="L44" s="48">
        <v>20.56</v>
      </c>
      <c r="M44" s="49">
        <f t="shared" si="4"/>
        <v>37.522</v>
      </c>
      <c r="N44" s="39" t="s">
        <v>40</v>
      </c>
      <c r="O44" s="39" t="s">
        <v>41</v>
      </c>
      <c r="P44" s="39" t="s">
        <v>42</v>
      </c>
      <c r="Q44" s="47" t="str">
        <f t="shared" si="5"/>
        <v>70*100</v>
      </c>
      <c r="R44" s="50">
        <v>1.0</v>
      </c>
      <c r="S44" s="51">
        <v>0.0</v>
      </c>
      <c r="T44" s="51">
        <v>0.0</v>
      </c>
      <c r="U44" s="51">
        <v>0.0</v>
      </c>
      <c r="V44" s="39" t="s">
        <v>43</v>
      </c>
      <c r="W44" s="47" t="str">
        <f t="shared" si="6"/>
        <v>BLANC - 70*100 - PAS DE REHAUSSE - (Largeur 25mm Profondeur 15mm)</v>
      </c>
      <c r="X44" s="50">
        <v>0.0</v>
      </c>
      <c r="Y44" s="52" t="s">
        <v>44</v>
      </c>
      <c r="Z44" s="47" t="str">
        <f t="shared" si="7"/>
        <v>MARA 25 BLANC 70*100 VERRE</v>
      </c>
      <c r="AA44" s="39" t="s">
        <v>45</v>
      </c>
      <c r="AB44" s="39" t="s">
        <v>46</v>
      </c>
      <c r="AC44" s="47" t="str">
        <f t="shared" si="8"/>
        <v>MARA 25 BLANC 70*100 VERRE</v>
      </c>
      <c r="AD44" s="39" t="s">
        <v>47</v>
      </c>
      <c r="AE44" s="39" t="str">
        <f t="shared" si="9"/>
        <v>ROMY  70*100 BLANC VERRE PAS DE REHAUSSE - CADRES CLASSIQUES - Pas de passepartout - Dos classique sans chevalet (Largeur 25mm Profondeur 15mm)</v>
      </c>
      <c r="AF44" s="39" t="str">
        <f t="shared" si="1"/>
        <v>ROMY  70*100 BLANC VERRE PAS DE REHAUSSE - CADRES CLASSIQUES - Pas de passepartout - Dos classique sans chevalet (Largeur 25mm Profondeur 15mm)</v>
      </c>
      <c r="AG44" s="53">
        <f t="shared" si="10"/>
        <v>36.31529841</v>
      </c>
      <c r="AH44" s="39"/>
      <c r="AI44" s="39"/>
      <c r="AJ44" s="39"/>
      <c r="AK44" s="39"/>
      <c r="AL44" s="39"/>
      <c r="AM44" s="39"/>
      <c r="AN44" s="39"/>
      <c r="AO44" s="39"/>
      <c r="AP44" s="39"/>
    </row>
    <row r="45" ht="15.75" customHeight="1">
      <c r="A45" s="39">
        <v>1088.0</v>
      </c>
      <c r="B45" s="40" t="s">
        <v>124</v>
      </c>
      <c r="C45" s="41" t="s">
        <v>37</v>
      </c>
      <c r="D45" s="42" t="s">
        <v>125</v>
      </c>
      <c r="E45" s="43">
        <v>345707.0</v>
      </c>
      <c r="F45" s="44" t="s">
        <v>125</v>
      </c>
      <c r="G45" s="45">
        <v>5.0</v>
      </c>
      <c r="H45" s="54">
        <v>3.735128150603634</v>
      </c>
      <c r="I45" s="47" t="s">
        <v>126</v>
      </c>
      <c r="J45" s="39" t="str">
        <f t="shared" si="2"/>
        <v>069536 - MARA 40</v>
      </c>
      <c r="K45" s="47">
        <f t="shared" si="3"/>
        <v>6.95325</v>
      </c>
      <c r="L45" s="48">
        <v>3.81</v>
      </c>
      <c r="M45" s="49">
        <f t="shared" si="4"/>
        <v>6.95325</v>
      </c>
      <c r="N45" s="39" t="s">
        <v>40</v>
      </c>
      <c r="O45" s="39" t="s">
        <v>41</v>
      </c>
      <c r="P45" s="39" t="s">
        <v>42</v>
      </c>
      <c r="Q45" s="47" t="str">
        <f t="shared" si="5"/>
        <v>10*15</v>
      </c>
      <c r="R45" s="50">
        <v>1.0</v>
      </c>
      <c r="S45" s="51">
        <v>0.0</v>
      </c>
      <c r="T45" s="51">
        <v>1.0</v>
      </c>
      <c r="U45" s="51">
        <v>0.0</v>
      </c>
      <c r="V45" s="39" t="s">
        <v>43</v>
      </c>
      <c r="W45" s="47" t="str">
        <f t="shared" si="6"/>
        <v>BLANC - 10*15 - PAS DE REHAUSSE - (Largeur 40mm Profondeur 15mm)</v>
      </c>
      <c r="X45" s="50">
        <v>0.0</v>
      </c>
      <c r="Y45" s="52" t="s">
        <v>44</v>
      </c>
      <c r="Z45" s="47" t="str">
        <f t="shared" si="7"/>
        <v>MARA 40 BLANC 10*15 VERRE</v>
      </c>
      <c r="AA45" s="39" t="s">
        <v>45</v>
      </c>
      <c r="AB45" s="39" t="s">
        <v>46</v>
      </c>
      <c r="AC45" s="47" t="str">
        <f t="shared" si="8"/>
        <v>MARA 40 BLANC 10*15 VERRE</v>
      </c>
      <c r="AD45" s="39" t="s">
        <v>127</v>
      </c>
      <c r="AE45" s="39" t="str">
        <f t="shared" si="9"/>
        <v>ROMY  10*15 BLANC VERRE PAS DE REHAUSSE - CADRES CLASSIQUES - Pas de passepartout - Dos classique sans chevalet (Largeur 40mm Profondeur 15mm)</v>
      </c>
      <c r="AF45" s="39" t="str">
        <f t="shared" si="1"/>
        <v>ROMY  10*15 BLANC VERRE PAS DE REHAUSSE - CADRES CLASSIQUES - Pas de passepartout - Dos classique sans chevalet (Largeur 40mm Profondeur 15mm)</v>
      </c>
      <c r="AG45" s="53">
        <f t="shared" si="10"/>
        <v>6.723230671</v>
      </c>
      <c r="AH45" s="39"/>
      <c r="AI45" s="39"/>
      <c r="AJ45" s="39"/>
      <c r="AK45" s="39"/>
      <c r="AL45" s="39"/>
      <c r="AM45" s="39"/>
      <c r="AN45" s="39"/>
      <c r="AO45" s="39"/>
      <c r="AP45" s="39"/>
    </row>
    <row r="46" ht="15.75" customHeight="1">
      <c r="A46" s="39">
        <v>1088.0</v>
      </c>
      <c r="B46" s="40" t="s">
        <v>124</v>
      </c>
      <c r="C46" s="41" t="s">
        <v>37</v>
      </c>
      <c r="D46" s="42" t="s">
        <v>128</v>
      </c>
      <c r="E46" s="43">
        <v>345707.0</v>
      </c>
      <c r="F46" s="44" t="s">
        <v>125</v>
      </c>
      <c r="G46" s="45">
        <v>5.0</v>
      </c>
      <c r="H46" s="54">
        <v>3.735128150603634</v>
      </c>
      <c r="I46" s="47" t="s">
        <v>126</v>
      </c>
      <c r="J46" s="39" t="str">
        <f t="shared" si="2"/>
        <v>069536DC - MARA 40</v>
      </c>
      <c r="K46" s="47">
        <f t="shared" si="3"/>
        <v>6.95325</v>
      </c>
      <c r="L46" s="48">
        <v>3.81</v>
      </c>
      <c r="M46" s="49">
        <f t="shared" si="4"/>
        <v>6.95325</v>
      </c>
      <c r="N46" s="39" t="s">
        <v>40</v>
      </c>
      <c r="O46" s="39" t="s">
        <v>41</v>
      </c>
      <c r="P46" s="39" t="s">
        <v>42</v>
      </c>
      <c r="Q46" s="47" t="str">
        <f t="shared" si="5"/>
        <v>10*15</v>
      </c>
      <c r="R46" s="50">
        <v>1.0</v>
      </c>
      <c r="S46" s="51">
        <v>0.0</v>
      </c>
      <c r="T46" s="51">
        <v>1.0</v>
      </c>
      <c r="U46" s="51">
        <v>1.0</v>
      </c>
      <c r="V46" s="39" t="s">
        <v>43</v>
      </c>
      <c r="W46" s="47" t="str">
        <f t="shared" si="6"/>
        <v>BLANC - 10*15 - PAS DE REHAUSSE - (Largeur 40mm Profondeur 15mm)</v>
      </c>
      <c r="X46" s="50">
        <v>0.0</v>
      </c>
      <c r="Y46" s="52" t="s">
        <v>44</v>
      </c>
      <c r="Z46" s="47" t="str">
        <f t="shared" si="7"/>
        <v>MARA 40 BLANC 10*15 VERRE</v>
      </c>
      <c r="AA46" s="39" t="s">
        <v>45</v>
      </c>
      <c r="AB46" s="39" t="s">
        <v>49</v>
      </c>
      <c r="AC46" s="47" t="str">
        <f t="shared" si="8"/>
        <v>MARA 40 BLANC 10*15 VERRE</v>
      </c>
      <c r="AD46" s="39" t="s">
        <v>127</v>
      </c>
      <c r="AE46" s="39" t="str">
        <f t="shared" si="9"/>
        <v>ROMY  10*15 BLANC VERRE PAS DE REHAUSSE - CADRES CLASSIQUES - Pas de passepartout - DOS AVEC CHEVALET (Largeur 40mm Profondeur 15mm)</v>
      </c>
      <c r="AF46" s="39" t="str">
        <f t="shared" si="1"/>
        <v>ROMY  10*15 BLANC VERRE PAS DE REHAUSSE - CADRES CLASSIQUES - Pas de passepartout - DOS AVEC CHEVALET (Largeur 40mm Profondeur 15mm)</v>
      </c>
      <c r="AG46" s="53">
        <f t="shared" si="10"/>
        <v>6.723230671</v>
      </c>
      <c r="AH46" s="39"/>
      <c r="AI46" s="39"/>
      <c r="AJ46" s="39"/>
      <c r="AK46" s="39"/>
      <c r="AL46" s="39"/>
      <c r="AM46" s="39"/>
      <c r="AN46" s="39"/>
      <c r="AO46" s="39"/>
      <c r="AP46" s="39"/>
    </row>
    <row r="47" ht="15.75" customHeight="1">
      <c r="A47" s="39">
        <v>1089.0</v>
      </c>
      <c r="B47" s="40" t="s">
        <v>124</v>
      </c>
      <c r="C47" s="41" t="s">
        <v>50</v>
      </c>
      <c r="D47" s="42" t="s">
        <v>129</v>
      </c>
      <c r="E47" s="43">
        <v>345707.0</v>
      </c>
      <c r="F47" s="44" t="s">
        <v>129</v>
      </c>
      <c r="G47" s="45">
        <v>2.0</v>
      </c>
      <c r="H47" s="54">
        <v>4.011697608727775</v>
      </c>
      <c r="I47" s="47" t="s">
        <v>126</v>
      </c>
      <c r="J47" s="39" t="str">
        <f t="shared" si="2"/>
        <v>069537 - MARA 40</v>
      </c>
      <c r="K47" s="47">
        <f t="shared" si="3"/>
        <v>7.46425</v>
      </c>
      <c r="L47" s="48">
        <v>4.09</v>
      </c>
      <c r="M47" s="49">
        <f t="shared" si="4"/>
        <v>7.46425</v>
      </c>
      <c r="N47" s="39" t="s">
        <v>40</v>
      </c>
      <c r="O47" s="39" t="s">
        <v>41</v>
      </c>
      <c r="P47" s="39" t="s">
        <v>42</v>
      </c>
      <c r="Q47" s="47" t="str">
        <f t="shared" si="5"/>
        <v>11*11</v>
      </c>
      <c r="R47" s="50">
        <v>1.0</v>
      </c>
      <c r="S47" s="51">
        <v>0.0</v>
      </c>
      <c r="T47" s="51">
        <v>0.0</v>
      </c>
      <c r="U47" s="51">
        <v>0.0</v>
      </c>
      <c r="V47" s="39" t="s">
        <v>43</v>
      </c>
      <c r="W47" s="47" t="str">
        <f t="shared" si="6"/>
        <v>BLANC - 11*11 - PAS DE REHAUSSE - (Largeur 40mm Profondeur 15mm)</v>
      </c>
      <c r="X47" s="50">
        <v>0.0</v>
      </c>
      <c r="Y47" s="52" t="s">
        <v>44</v>
      </c>
      <c r="Z47" s="47" t="str">
        <f t="shared" si="7"/>
        <v>MARA 40 BLANC 11*11 VERRE</v>
      </c>
      <c r="AA47" s="39" t="s">
        <v>45</v>
      </c>
      <c r="AB47" s="39" t="s">
        <v>46</v>
      </c>
      <c r="AC47" s="47" t="str">
        <f t="shared" si="8"/>
        <v>MARA 40 BLANC 11*11 VERRE</v>
      </c>
      <c r="AD47" s="39" t="s">
        <v>127</v>
      </c>
      <c r="AE47" s="39" t="str">
        <f t="shared" si="9"/>
        <v>ROMY  11*11 BLANC VERRE PAS DE REHAUSSE - CADRES CLASSIQUES - Pas de passepartout - Dos classique sans chevalet (Largeur 40mm Profondeur 15mm)</v>
      </c>
      <c r="AF47" s="39" t="str">
        <f t="shared" si="1"/>
        <v>ROMY  11*11 BLANC VERRE PAS DE REHAUSSE - CADRES CLASSIQUES - Pas de passepartout - Dos classique sans chevalet (Largeur 40mm Profondeur 15mm)</v>
      </c>
      <c r="AG47" s="53">
        <f t="shared" si="10"/>
        <v>7.221055696</v>
      </c>
      <c r="AH47" s="39"/>
      <c r="AI47" s="39"/>
      <c r="AJ47" s="39"/>
      <c r="AK47" s="39"/>
      <c r="AL47" s="39"/>
      <c r="AM47" s="39"/>
      <c r="AN47" s="39"/>
      <c r="AO47" s="39"/>
      <c r="AP47" s="39"/>
    </row>
    <row r="48" ht="15.75" customHeight="1">
      <c r="A48" s="39">
        <v>1090.0</v>
      </c>
      <c r="B48" s="40" t="s">
        <v>124</v>
      </c>
      <c r="C48" s="41" t="s">
        <v>52</v>
      </c>
      <c r="D48" s="42" t="s">
        <v>130</v>
      </c>
      <c r="E48" s="43">
        <v>345707.0</v>
      </c>
      <c r="F48" s="44" t="s">
        <v>130</v>
      </c>
      <c r="G48" s="45">
        <v>6.0</v>
      </c>
      <c r="H48" s="54">
        <v>4.603729105024764</v>
      </c>
      <c r="I48" s="47" t="s">
        <v>126</v>
      </c>
      <c r="J48" s="39" t="str">
        <f t="shared" si="2"/>
        <v>069539 - MARA 40</v>
      </c>
      <c r="K48" s="47">
        <f t="shared" si="3"/>
        <v>8.55925</v>
      </c>
      <c r="L48" s="48">
        <v>4.69</v>
      </c>
      <c r="M48" s="49">
        <f t="shared" si="4"/>
        <v>8.55925</v>
      </c>
      <c r="N48" s="39" t="s">
        <v>40</v>
      </c>
      <c r="O48" s="39" t="s">
        <v>41</v>
      </c>
      <c r="P48" s="39" t="s">
        <v>42</v>
      </c>
      <c r="Q48" s="47" t="str">
        <f t="shared" si="5"/>
        <v>13*18</v>
      </c>
      <c r="R48" s="50">
        <v>1.0</v>
      </c>
      <c r="S48" s="51">
        <v>0.0</v>
      </c>
      <c r="T48" s="51">
        <v>1.0</v>
      </c>
      <c r="U48" s="51">
        <v>0.0</v>
      </c>
      <c r="V48" s="39" t="s">
        <v>43</v>
      </c>
      <c r="W48" s="47" t="str">
        <f t="shared" si="6"/>
        <v>BLANC - 13*18 - PAS DE REHAUSSE - (Largeur 40mm Profondeur 15mm)</v>
      </c>
      <c r="X48" s="50">
        <v>0.0</v>
      </c>
      <c r="Y48" s="52" t="s">
        <v>44</v>
      </c>
      <c r="Z48" s="47" t="str">
        <f t="shared" si="7"/>
        <v>MARA 40 BLANC 13*18 VERRE</v>
      </c>
      <c r="AA48" s="39" t="s">
        <v>45</v>
      </c>
      <c r="AB48" s="39" t="s">
        <v>46</v>
      </c>
      <c r="AC48" s="47" t="str">
        <f t="shared" si="8"/>
        <v>MARA 40 BLANC 13*18 VERRE</v>
      </c>
      <c r="AD48" s="39" t="s">
        <v>127</v>
      </c>
      <c r="AE48" s="39" t="str">
        <f t="shared" si="9"/>
        <v>ROMY  13*18 BLANC VERRE PAS DE REHAUSSE - CADRES CLASSIQUES - Pas de passepartout - Dos classique sans chevalet (Largeur 40mm Profondeur 15mm)</v>
      </c>
      <c r="AF48" s="39" t="str">
        <f t="shared" si="1"/>
        <v>ROMY  13*18 BLANC VERRE PAS DE REHAUSSE - CADRES CLASSIQUES - Pas de passepartout - Dos classique sans chevalet (Largeur 40mm Profondeur 15mm)</v>
      </c>
      <c r="AG48" s="53">
        <f t="shared" si="10"/>
        <v>8.286712389</v>
      </c>
      <c r="AH48" s="39"/>
      <c r="AI48" s="39"/>
      <c r="AJ48" s="39"/>
      <c r="AK48" s="39"/>
      <c r="AL48" s="39"/>
      <c r="AM48" s="39"/>
      <c r="AN48" s="39"/>
      <c r="AO48" s="39"/>
      <c r="AP48" s="39"/>
    </row>
    <row r="49" ht="15.75" customHeight="1">
      <c r="A49" s="39">
        <v>1090.0</v>
      </c>
      <c r="B49" s="40" t="s">
        <v>124</v>
      </c>
      <c r="C49" s="41" t="s">
        <v>52</v>
      </c>
      <c r="D49" s="42" t="s">
        <v>131</v>
      </c>
      <c r="E49" s="43">
        <v>345707.0</v>
      </c>
      <c r="F49" s="44" t="s">
        <v>130</v>
      </c>
      <c r="G49" s="45">
        <v>6.0</v>
      </c>
      <c r="H49" s="54">
        <v>4.603729105024764</v>
      </c>
      <c r="I49" s="47" t="s">
        <v>126</v>
      </c>
      <c r="J49" s="39" t="str">
        <f t="shared" si="2"/>
        <v>069539DC - MARA 40</v>
      </c>
      <c r="K49" s="47">
        <f t="shared" si="3"/>
        <v>8.55925</v>
      </c>
      <c r="L49" s="48">
        <v>4.69</v>
      </c>
      <c r="M49" s="49">
        <f t="shared" si="4"/>
        <v>8.55925</v>
      </c>
      <c r="N49" s="39" t="s">
        <v>40</v>
      </c>
      <c r="O49" s="39" t="s">
        <v>41</v>
      </c>
      <c r="P49" s="39" t="s">
        <v>42</v>
      </c>
      <c r="Q49" s="47" t="str">
        <f t="shared" si="5"/>
        <v>13*18</v>
      </c>
      <c r="R49" s="50">
        <v>1.0</v>
      </c>
      <c r="S49" s="51">
        <v>0.0</v>
      </c>
      <c r="T49" s="51">
        <v>1.0</v>
      </c>
      <c r="U49" s="51">
        <v>1.0</v>
      </c>
      <c r="V49" s="39" t="s">
        <v>43</v>
      </c>
      <c r="W49" s="47" t="str">
        <f t="shared" si="6"/>
        <v>BLANC - 13*18 - PAS DE REHAUSSE - (Largeur 40mm Profondeur 15mm)</v>
      </c>
      <c r="X49" s="50">
        <v>0.0</v>
      </c>
      <c r="Y49" s="52" t="s">
        <v>44</v>
      </c>
      <c r="Z49" s="47" t="str">
        <f t="shared" si="7"/>
        <v>MARA 40 BLANC 13*18 VERRE</v>
      </c>
      <c r="AA49" s="39" t="s">
        <v>45</v>
      </c>
      <c r="AB49" s="39" t="s">
        <v>49</v>
      </c>
      <c r="AC49" s="47" t="str">
        <f t="shared" si="8"/>
        <v>MARA 40 BLANC 13*18 VERRE</v>
      </c>
      <c r="AD49" s="39" t="s">
        <v>127</v>
      </c>
      <c r="AE49" s="39" t="str">
        <f t="shared" si="9"/>
        <v>ROMY  13*18 BLANC VERRE PAS DE REHAUSSE - CADRES CLASSIQUES - Pas de passepartout - DOS AVEC CHEVALET (Largeur 40mm Profondeur 15mm)</v>
      </c>
      <c r="AF49" s="39" t="str">
        <f t="shared" si="1"/>
        <v>ROMY  13*18 BLANC VERRE PAS DE REHAUSSE - CADRES CLASSIQUES - Pas de passepartout - DOS AVEC CHEVALET (Largeur 40mm Profondeur 15mm)</v>
      </c>
      <c r="AG49" s="53">
        <f t="shared" si="10"/>
        <v>8.286712389</v>
      </c>
      <c r="AH49" s="39"/>
      <c r="AI49" s="39"/>
      <c r="AJ49" s="39"/>
      <c r="AK49" s="39"/>
      <c r="AL49" s="39"/>
      <c r="AM49" s="39"/>
      <c r="AN49" s="39"/>
      <c r="AO49" s="39"/>
      <c r="AP49" s="39"/>
    </row>
    <row r="50" ht="15.75" customHeight="1">
      <c r="A50" s="39">
        <v>1091.0</v>
      </c>
      <c r="B50" s="40" t="s">
        <v>124</v>
      </c>
      <c r="C50" s="41" t="s">
        <v>55</v>
      </c>
      <c r="D50" s="42" t="s">
        <v>132</v>
      </c>
      <c r="E50" s="43">
        <v>345707.0</v>
      </c>
      <c r="F50" s="44" t="s">
        <v>132</v>
      </c>
      <c r="G50" s="45">
        <v>9.0</v>
      </c>
      <c r="H50" s="54">
        <v>4.281064737213264</v>
      </c>
      <c r="I50" s="47" t="s">
        <v>126</v>
      </c>
      <c r="J50" s="39" t="str">
        <f t="shared" si="2"/>
        <v>069541 - MARA 40</v>
      </c>
      <c r="K50" s="47">
        <f t="shared" si="3"/>
        <v>7.957</v>
      </c>
      <c r="L50" s="48">
        <v>4.36</v>
      </c>
      <c r="M50" s="49">
        <f t="shared" si="4"/>
        <v>7.957</v>
      </c>
      <c r="N50" s="39" t="s">
        <v>40</v>
      </c>
      <c r="O50" s="39" t="s">
        <v>41</v>
      </c>
      <c r="P50" s="39" t="s">
        <v>42</v>
      </c>
      <c r="Q50" s="47" t="str">
        <f t="shared" si="5"/>
        <v>14*14</v>
      </c>
      <c r="R50" s="50">
        <v>1.0</v>
      </c>
      <c r="S50" s="51">
        <v>0.0</v>
      </c>
      <c r="T50" s="51">
        <v>0.0</v>
      </c>
      <c r="U50" s="51">
        <v>0.0</v>
      </c>
      <c r="V50" s="39" t="s">
        <v>43</v>
      </c>
      <c r="W50" s="47" t="str">
        <f t="shared" si="6"/>
        <v>BLANC - 14*14 - PAS DE REHAUSSE - (Largeur 40mm Profondeur 15mm)</v>
      </c>
      <c r="X50" s="50">
        <v>0.0</v>
      </c>
      <c r="Y50" s="52" t="s">
        <v>44</v>
      </c>
      <c r="Z50" s="47" t="str">
        <f t="shared" si="7"/>
        <v>MARA 40 BLANC 14*14 VERRE</v>
      </c>
      <c r="AA50" s="39" t="s">
        <v>45</v>
      </c>
      <c r="AB50" s="39" t="s">
        <v>46</v>
      </c>
      <c r="AC50" s="47" t="str">
        <f t="shared" si="8"/>
        <v>MARA 40 BLANC 14*14 VERRE</v>
      </c>
      <c r="AD50" s="39" t="s">
        <v>127</v>
      </c>
      <c r="AE50" s="39" t="str">
        <f t="shared" si="9"/>
        <v>ROMY  14*14 BLANC VERRE PAS DE REHAUSSE - CADRES CLASSIQUES - Pas de passepartout - Dos classique sans chevalet (Largeur 40mm Profondeur 15mm)</v>
      </c>
      <c r="AF50" s="39" t="str">
        <f t="shared" si="1"/>
        <v>ROMY  14*14 BLANC VERRE PAS DE REHAUSSE - CADRES CLASSIQUES - Pas de passepartout - Dos classique sans chevalet (Largeur 40mm Profondeur 15mm)</v>
      </c>
      <c r="AG50" s="53">
        <f t="shared" si="10"/>
        <v>7.705916527</v>
      </c>
      <c r="AH50" s="39"/>
      <c r="AI50" s="39"/>
      <c r="AJ50" s="39"/>
      <c r="AK50" s="39"/>
      <c r="AL50" s="39"/>
      <c r="AM50" s="39"/>
      <c r="AN50" s="39"/>
      <c r="AO50" s="39"/>
      <c r="AP50" s="39"/>
    </row>
    <row r="51" ht="15.75" customHeight="1">
      <c r="A51" s="39">
        <v>1092.0</v>
      </c>
      <c r="B51" s="40" t="s">
        <v>124</v>
      </c>
      <c r="C51" s="41" t="s">
        <v>57</v>
      </c>
      <c r="D51" s="42" t="s">
        <v>133</v>
      </c>
      <c r="E51" s="43">
        <v>345707.0</v>
      </c>
      <c r="F51" s="44" t="s">
        <v>133</v>
      </c>
      <c r="G51" s="45">
        <v>5.0</v>
      </c>
      <c r="H51" s="54">
        <v>5.1156</v>
      </c>
      <c r="I51" s="47" t="s">
        <v>126</v>
      </c>
      <c r="J51" s="39" t="str">
        <f t="shared" si="2"/>
        <v>054219 - MARA 40</v>
      </c>
      <c r="K51" s="47">
        <f t="shared" si="3"/>
        <v>9.50825</v>
      </c>
      <c r="L51" s="48">
        <v>5.21</v>
      </c>
      <c r="M51" s="49">
        <f t="shared" si="4"/>
        <v>9.50825</v>
      </c>
      <c r="N51" s="39" t="s">
        <v>40</v>
      </c>
      <c r="O51" s="39" t="s">
        <v>41</v>
      </c>
      <c r="P51" s="39" t="s">
        <v>42</v>
      </c>
      <c r="Q51" s="47" t="str">
        <f t="shared" si="5"/>
        <v>15*20</v>
      </c>
      <c r="R51" s="50">
        <v>1.0</v>
      </c>
      <c r="S51" s="51">
        <v>0.0</v>
      </c>
      <c r="T51" s="51">
        <v>0.0</v>
      </c>
      <c r="U51" s="51">
        <v>0.0</v>
      </c>
      <c r="V51" s="39" t="s">
        <v>43</v>
      </c>
      <c r="W51" s="47" t="str">
        <f t="shared" si="6"/>
        <v>BLANC - 15*20 - PAS DE REHAUSSE - (Largeur 40mm Profondeur 15mm)</v>
      </c>
      <c r="X51" s="50">
        <v>0.0</v>
      </c>
      <c r="Y51" s="52" t="s">
        <v>44</v>
      </c>
      <c r="Z51" s="47" t="str">
        <f t="shared" si="7"/>
        <v>MARA 40 BLANC 15*20 VERRE</v>
      </c>
      <c r="AA51" s="39" t="s">
        <v>45</v>
      </c>
      <c r="AB51" s="39" t="s">
        <v>46</v>
      </c>
      <c r="AC51" s="47" t="str">
        <f t="shared" si="8"/>
        <v>MARA 40 BLANC 15*20 VERRE</v>
      </c>
      <c r="AD51" s="39" t="s">
        <v>127</v>
      </c>
      <c r="AE51" s="39" t="str">
        <f t="shared" si="9"/>
        <v>ROMY  15*20 BLANC VERRE PAS DE REHAUSSE - CADRES CLASSIQUES - Pas de passepartout - Dos classique sans chevalet (Largeur 40mm Profondeur 15mm)</v>
      </c>
      <c r="AF51" s="39" t="str">
        <f t="shared" si="1"/>
        <v>ROMY  15*20 BLANC VERRE PAS DE REHAUSSE - CADRES CLASSIQUES - Pas de passepartout - Dos classique sans chevalet (Largeur 40mm Profondeur 15mm)</v>
      </c>
      <c r="AG51" s="53">
        <f t="shared" si="10"/>
        <v>9.20808</v>
      </c>
      <c r="AH51" s="39"/>
      <c r="AI51" s="39"/>
      <c r="AJ51" s="39"/>
      <c r="AK51" s="39"/>
      <c r="AL51" s="39"/>
      <c r="AM51" s="39"/>
      <c r="AN51" s="39"/>
      <c r="AO51" s="39"/>
      <c r="AP51" s="39"/>
    </row>
    <row r="52" ht="15.75" customHeight="1">
      <c r="A52" s="39">
        <v>1093.0</v>
      </c>
      <c r="B52" s="40" t="s">
        <v>124</v>
      </c>
      <c r="C52" s="41" t="s">
        <v>59</v>
      </c>
      <c r="D52" s="42" t="s">
        <v>134</v>
      </c>
      <c r="E52" s="43">
        <v>345707.0</v>
      </c>
      <c r="F52" s="44" t="s">
        <v>134</v>
      </c>
      <c r="G52" s="45">
        <v>6.0</v>
      </c>
      <c r="H52" s="54">
        <v>5.110773111585688</v>
      </c>
      <c r="I52" s="47" t="s">
        <v>126</v>
      </c>
      <c r="J52" s="39" t="str">
        <f t="shared" si="2"/>
        <v>069542 - MARA 40</v>
      </c>
      <c r="K52" s="47">
        <f t="shared" si="3"/>
        <v>9.50825</v>
      </c>
      <c r="L52" s="48">
        <v>5.21</v>
      </c>
      <c r="M52" s="49">
        <f t="shared" si="4"/>
        <v>9.50825</v>
      </c>
      <c r="N52" s="39" t="s">
        <v>40</v>
      </c>
      <c r="O52" s="39" t="s">
        <v>41</v>
      </c>
      <c r="P52" s="39" t="s">
        <v>42</v>
      </c>
      <c r="Q52" s="47" t="str">
        <f t="shared" si="5"/>
        <v>15*21</v>
      </c>
      <c r="R52" s="50">
        <v>1.0</v>
      </c>
      <c r="S52" s="51">
        <v>0.0</v>
      </c>
      <c r="T52" s="51">
        <v>1.0</v>
      </c>
      <c r="U52" s="51">
        <v>0.0</v>
      </c>
      <c r="V52" s="39" t="s">
        <v>43</v>
      </c>
      <c r="W52" s="47" t="str">
        <f t="shared" si="6"/>
        <v>BLANC - 15*21 - PAS DE REHAUSSE - (Largeur 40mm Profondeur 15mm)</v>
      </c>
      <c r="X52" s="50">
        <v>0.0</v>
      </c>
      <c r="Y52" s="52" t="s">
        <v>44</v>
      </c>
      <c r="Z52" s="47" t="str">
        <f t="shared" si="7"/>
        <v>MARA 40 BLANC 15*21 VERRE</v>
      </c>
      <c r="AA52" s="39" t="s">
        <v>45</v>
      </c>
      <c r="AB52" s="39" t="s">
        <v>46</v>
      </c>
      <c r="AC52" s="47" t="str">
        <f t="shared" si="8"/>
        <v>MARA 40 BLANC 15*21 VERRE</v>
      </c>
      <c r="AD52" s="39" t="s">
        <v>127</v>
      </c>
      <c r="AE52" s="39" t="str">
        <f t="shared" si="9"/>
        <v>ROMY  15*21 BLANC VERRE PAS DE REHAUSSE - CADRES CLASSIQUES - Pas de passepartout - Dos classique sans chevalet (Largeur 40mm Profondeur 15mm)</v>
      </c>
      <c r="AF52" s="39" t="str">
        <f t="shared" si="1"/>
        <v>ROMY  15*21 BLANC VERRE PAS DE REHAUSSE - CADRES CLASSIQUES - Pas de passepartout - Dos classique sans chevalet (Largeur 40mm Profondeur 15mm)</v>
      </c>
      <c r="AG52" s="53">
        <f t="shared" si="10"/>
        <v>9.199391601</v>
      </c>
      <c r="AH52" s="39"/>
      <c r="AI52" s="39"/>
      <c r="AJ52" s="39"/>
      <c r="AK52" s="39"/>
      <c r="AL52" s="39"/>
      <c r="AM52" s="39"/>
      <c r="AN52" s="39"/>
      <c r="AO52" s="39"/>
      <c r="AP52" s="39"/>
    </row>
    <row r="53" ht="15.75" customHeight="1">
      <c r="A53" s="39">
        <v>1093.0</v>
      </c>
      <c r="B53" s="40" t="s">
        <v>124</v>
      </c>
      <c r="C53" s="41" t="s">
        <v>59</v>
      </c>
      <c r="D53" s="42" t="s">
        <v>135</v>
      </c>
      <c r="E53" s="43">
        <v>345707.0</v>
      </c>
      <c r="F53" s="44" t="s">
        <v>134</v>
      </c>
      <c r="G53" s="45">
        <v>6.0</v>
      </c>
      <c r="H53" s="54">
        <v>5.110773111585688</v>
      </c>
      <c r="I53" s="47" t="s">
        <v>126</v>
      </c>
      <c r="J53" s="39" t="str">
        <f t="shared" si="2"/>
        <v>069542DC - MARA 40</v>
      </c>
      <c r="K53" s="47">
        <f t="shared" si="3"/>
        <v>9.50825</v>
      </c>
      <c r="L53" s="48">
        <v>5.21</v>
      </c>
      <c r="M53" s="49">
        <f t="shared" si="4"/>
        <v>9.50825</v>
      </c>
      <c r="N53" s="39" t="s">
        <v>40</v>
      </c>
      <c r="O53" s="39" t="s">
        <v>41</v>
      </c>
      <c r="P53" s="39" t="s">
        <v>42</v>
      </c>
      <c r="Q53" s="47" t="str">
        <f t="shared" si="5"/>
        <v>15*21</v>
      </c>
      <c r="R53" s="50">
        <v>1.0</v>
      </c>
      <c r="S53" s="51">
        <v>0.0</v>
      </c>
      <c r="T53" s="51">
        <v>1.0</v>
      </c>
      <c r="U53" s="51">
        <v>1.0</v>
      </c>
      <c r="V53" s="39" t="s">
        <v>43</v>
      </c>
      <c r="W53" s="47" t="str">
        <f t="shared" si="6"/>
        <v>BLANC - 15*21 - PAS DE REHAUSSE - (Largeur 40mm Profondeur 15mm)</v>
      </c>
      <c r="X53" s="50">
        <v>0.0</v>
      </c>
      <c r="Y53" s="52" t="s">
        <v>44</v>
      </c>
      <c r="Z53" s="47" t="str">
        <f t="shared" si="7"/>
        <v>MARA 40 BLANC 15*21 VERRE</v>
      </c>
      <c r="AA53" s="39" t="s">
        <v>45</v>
      </c>
      <c r="AB53" s="39" t="s">
        <v>49</v>
      </c>
      <c r="AC53" s="47" t="str">
        <f t="shared" si="8"/>
        <v>MARA 40 BLANC 15*21 VERRE</v>
      </c>
      <c r="AD53" s="39" t="s">
        <v>127</v>
      </c>
      <c r="AE53" s="39" t="str">
        <f t="shared" si="9"/>
        <v>ROMY  15*21 BLANC VERRE PAS DE REHAUSSE - CADRES CLASSIQUES - Pas de passepartout - DOS AVEC CHEVALET (Largeur 40mm Profondeur 15mm)</v>
      </c>
      <c r="AF53" s="39" t="str">
        <f t="shared" si="1"/>
        <v>ROMY  15*21 BLANC VERRE PAS DE REHAUSSE - CADRES CLASSIQUES - Pas de passepartout - DOS AVEC CHEVALET (Largeur 40mm Profondeur 15mm)</v>
      </c>
      <c r="AG53" s="53">
        <f t="shared" si="10"/>
        <v>9.199391601</v>
      </c>
      <c r="AH53" s="39"/>
      <c r="AI53" s="39"/>
      <c r="AJ53" s="39"/>
      <c r="AK53" s="39"/>
      <c r="AL53" s="39"/>
      <c r="AM53" s="39"/>
      <c r="AN53" s="39"/>
      <c r="AO53" s="39"/>
      <c r="AP53" s="39"/>
    </row>
    <row r="54" ht="15.75" customHeight="1">
      <c r="A54" s="39">
        <v>1094.0</v>
      </c>
      <c r="B54" s="40" t="s">
        <v>124</v>
      </c>
      <c r="C54" s="41" t="s">
        <v>62</v>
      </c>
      <c r="D54" s="42" t="s">
        <v>136</v>
      </c>
      <c r="E54" s="43">
        <v>345707.0</v>
      </c>
      <c r="F54" s="44" t="s">
        <v>136</v>
      </c>
      <c r="G54" s="45">
        <v>3.0</v>
      </c>
      <c r="H54" s="54">
        <v>5.733054392365007</v>
      </c>
      <c r="I54" s="47" t="s">
        <v>126</v>
      </c>
      <c r="J54" s="39" t="str">
        <f t="shared" si="2"/>
        <v>069543 - MARA 40</v>
      </c>
      <c r="K54" s="47">
        <f t="shared" si="3"/>
        <v>10.658</v>
      </c>
      <c r="L54" s="48">
        <v>5.84</v>
      </c>
      <c r="M54" s="49">
        <f t="shared" si="4"/>
        <v>10.658</v>
      </c>
      <c r="N54" s="39" t="s">
        <v>40</v>
      </c>
      <c r="O54" s="39" t="s">
        <v>41</v>
      </c>
      <c r="P54" s="39" t="s">
        <v>42</v>
      </c>
      <c r="Q54" s="47" t="str">
        <f t="shared" si="5"/>
        <v>18*24</v>
      </c>
      <c r="R54" s="50">
        <v>1.0</v>
      </c>
      <c r="S54" s="51">
        <v>0.0</v>
      </c>
      <c r="T54" s="51">
        <v>1.0</v>
      </c>
      <c r="U54" s="51">
        <v>0.0</v>
      </c>
      <c r="V54" s="39" t="s">
        <v>43</v>
      </c>
      <c r="W54" s="47" t="str">
        <f t="shared" si="6"/>
        <v>BLANC - 18*24 - PAS DE REHAUSSE - (Largeur 40mm Profondeur 15mm)</v>
      </c>
      <c r="X54" s="50">
        <v>0.0</v>
      </c>
      <c r="Y54" s="52" t="s">
        <v>44</v>
      </c>
      <c r="Z54" s="47" t="str">
        <f t="shared" si="7"/>
        <v>MARA 40 BLANC 18*24 VERRE</v>
      </c>
      <c r="AA54" s="39" t="s">
        <v>45</v>
      </c>
      <c r="AB54" s="39" t="s">
        <v>46</v>
      </c>
      <c r="AC54" s="47" t="str">
        <f t="shared" si="8"/>
        <v>MARA 40 BLANC 18*24 VERRE</v>
      </c>
      <c r="AD54" s="39" t="s">
        <v>127</v>
      </c>
      <c r="AE54" s="39" t="str">
        <f t="shared" si="9"/>
        <v>ROMY  18*24 BLANC VERRE PAS DE REHAUSSE - CADRES CLASSIQUES - Pas de passepartout - Dos classique sans chevalet (Largeur 40mm Profondeur 15mm)</v>
      </c>
      <c r="AF54" s="39" t="str">
        <f t="shared" si="1"/>
        <v>ROMY  18*24 BLANC VERRE PAS DE REHAUSSE - CADRES CLASSIQUES - Pas de passepartout - Dos classique sans chevalet (Largeur 40mm Profondeur 15mm)</v>
      </c>
      <c r="AG54" s="53">
        <f t="shared" si="10"/>
        <v>10.31949791</v>
      </c>
      <c r="AH54" s="39"/>
      <c r="AI54" s="39"/>
      <c r="AJ54" s="39"/>
      <c r="AK54" s="39"/>
      <c r="AL54" s="39"/>
      <c r="AM54" s="39"/>
      <c r="AN54" s="39"/>
      <c r="AO54" s="39"/>
      <c r="AP54" s="39"/>
    </row>
    <row r="55" ht="15.75" customHeight="1">
      <c r="A55" s="39">
        <v>1094.0</v>
      </c>
      <c r="B55" s="40" t="s">
        <v>124</v>
      </c>
      <c r="C55" s="41" t="s">
        <v>62</v>
      </c>
      <c r="D55" s="42" t="s">
        <v>137</v>
      </c>
      <c r="E55" s="43">
        <v>345707.0</v>
      </c>
      <c r="F55" s="44" t="s">
        <v>136</v>
      </c>
      <c r="G55" s="45">
        <v>3.0</v>
      </c>
      <c r="H55" s="54">
        <v>5.733054392365007</v>
      </c>
      <c r="I55" s="47" t="s">
        <v>126</v>
      </c>
      <c r="J55" s="39" t="str">
        <f t="shared" si="2"/>
        <v>069543DC - MARA 40</v>
      </c>
      <c r="K55" s="47">
        <f t="shared" si="3"/>
        <v>10.658</v>
      </c>
      <c r="L55" s="48">
        <v>5.84</v>
      </c>
      <c r="M55" s="49">
        <f t="shared" si="4"/>
        <v>10.658</v>
      </c>
      <c r="N55" s="39" t="s">
        <v>40</v>
      </c>
      <c r="O55" s="39" t="s">
        <v>41</v>
      </c>
      <c r="P55" s="39" t="s">
        <v>42</v>
      </c>
      <c r="Q55" s="47" t="str">
        <f t="shared" si="5"/>
        <v>18*24</v>
      </c>
      <c r="R55" s="50">
        <v>1.0</v>
      </c>
      <c r="S55" s="51">
        <v>0.0</v>
      </c>
      <c r="T55" s="51">
        <v>1.0</v>
      </c>
      <c r="U55" s="51">
        <v>1.0</v>
      </c>
      <c r="V55" s="39" t="s">
        <v>43</v>
      </c>
      <c r="W55" s="47" t="str">
        <f t="shared" si="6"/>
        <v>BLANC - 18*24 - PAS DE REHAUSSE - (Largeur 40mm Profondeur 15mm)</v>
      </c>
      <c r="X55" s="50">
        <v>0.0</v>
      </c>
      <c r="Y55" s="52" t="s">
        <v>44</v>
      </c>
      <c r="Z55" s="47" t="str">
        <f t="shared" si="7"/>
        <v>MARA 40 BLANC 18*24 VERRE</v>
      </c>
      <c r="AA55" s="39" t="s">
        <v>45</v>
      </c>
      <c r="AB55" s="39" t="s">
        <v>49</v>
      </c>
      <c r="AC55" s="47" t="str">
        <f t="shared" si="8"/>
        <v>MARA 40 BLANC 18*24 VERRE</v>
      </c>
      <c r="AD55" s="39" t="s">
        <v>127</v>
      </c>
      <c r="AE55" s="39" t="str">
        <f t="shared" si="9"/>
        <v>ROMY  18*24 BLANC VERRE PAS DE REHAUSSE - CADRES CLASSIQUES - Pas de passepartout - DOS AVEC CHEVALET (Largeur 40mm Profondeur 15mm)</v>
      </c>
      <c r="AF55" s="39" t="str">
        <f t="shared" si="1"/>
        <v>ROMY  18*24 BLANC VERRE PAS DE REHAUSSE - CADRES CLASSIQUES - Pas de passepartout - DOS AVEC CHEVALET (Largeur 40mm Profondeur 15mm)</v>
      </c>
      <c r="AG55" s="53">
        <f t="shared" si="10"/>
        <v>10.31949791</v>
      </c>
      <c r="AH55" s="39"/>
      <c r="AI55" s="39"/>
      <c r="AJ55" s="39"/>
      <c r="AK55" s="39"/>
      <c r="AL55" s="39"/>
      <c r="AM55" s="39"/>
      <c r="AN55" s="39"/>
      <c r="AO55" s="39"/>
      <c r="AP55" s="39"/>
    </row>
    <row r="56" ht="15.75" customHeight="1">
      <c r="A56" s="39">
        <v>1095.0</v>
      </c>
      <c r="B56" s="40" t="s">
        <v>124</v>
      </c>
      <c r="C56" s="41" t="s">
        <v>65</v>
      </c>
      <c r="D56" s="42" t="s">
        <v>138</v>
      </c>
      <c r="E56" s="43">
        <v>345707.0</v>
      </c>
      <c r="F56" s="44" t="s">
        <v>138</v>
      </c>
      <c r="G56" s="45">
        <v>0.0</v>
      </c>
      <c r="H56" s="54">
        <v>6.862379679705252</v>
      </c>
      <c r="I56" s="47" t="s">
        <v>126</v>
      </c>
      <c r="J56" s="39" t="str">
        <f t="shared" si="2"/>
        <v>069544 - MARA 40</v>
      </c>
      <c r="K56" s="47">
        <f t="shared" si="3"/>
        <v>12.75675</v>
      </c>
      <c r="L56" s="48">
        <v>6.99</v>
      </c>
      <c r="M56" s="49">
        <f t="shared" si="4"/>
        <v>12.75675</v>
      </c>
      <c r="N56" s="39" t="s">
        <v>40</v>
      </c>
      <c r="O56" s="39" t="s">
        <v>41</v>
      </c>
      <c r="P56" s="39" t="s">
        <v>42</v>
      </c>
      <c r="Q56" s="47" t="str">
        <f t="shared" si="5"/>
        <v>18*35</v>
      </c>
      <c r="R56" s="50">
        <v>1.0</v>
      </c>
      <c r="S56" s="51">
        <v>0.0</v>
      </c>
      <c r="T56" s="51">
        <v>0.0</v>
      </c>
      <c r="U56" s="51">
        <v>0.0</v>
      </c>
      <c r="V56" s="39" t="s">
        <v>43</v>
      </c>
      <c r="W56" s="47" t="str">
        <f t="shared" si="6"/>
        <v>BLANC - 18*35 - PAS DE REHAUSSE - (Largeur 40mm Profondeur 15mm)</v>
      </c>
      <c r="X56" s="50">
        <v>0.0</v>
      </c>
      <c r="Y56" s="52" t="s">
        <v>44</v>
      </c>
      <c r="Z56" s="47" t="str">
        <f t="shared" si="7"/>
        <v>MARA 40 BLANC 18*35 VERRE</v>
      </c>
      <c r="AA56" s="39" t="s">
        <v>45</v>
      </c>
      <c r="AB56" s="39" t="s">
        <v>46</v>
      </c>
      <c r="AC56" s="47" t="str">
        <f t="shared" si="8"/>
        <v>MARA 40 BLANC 18*35 VERRE</v>
      </c>
      <c r="AD56" s="39" t="s">
        <v>127</v>
      </c>
      <c r="AE56" s="39" t="str">
        <f t="shared" si="9"/>
        <v>ROMY  18*35 BLANC VERRE PAS DE REHAUSSE - CADRES CLASSIQUES - Pas de passepartout - Dos classique sans chevalet (Largeur 40mm Profondeur 15mm)</v>
      </c>
      <c r="AF56" s="39" t="str">
        <f t="shared" si="1"/>
        <v>ROMY  18*35 BLANC VERRE PAS DE REHAUSSE - CADRES CLASSIQUES - Pas de passepartout - Dos classique sans chevalet (Largeur 40mm Profondeur 15mm)</v>
      </c>
      <c r="AG56" s="53">
        <f t="shared" si="10"/>
        <v>12.35228342</v>
      </c>
      <c r="AH56" s="39"/>
      <c r="AI56" s="39"/>
      <c r="AJ56" s="39"/>
      <c r="AK56" s="39"/>
      <c r="AL56" s="39"/>
      <c r="AM56" s="39"/>
      <c r="AN56" s="39"/>
      <c r="AO56" s="39"/>
      <c r="AP56" s="39"/>
    </row>
    <row r="57" ht="15.75" customHeight="1">
      <c r="A57" s="39">
        <v>1096.0</v>
      </c>
      <c r="B57" s="40" t="s">
        <v>124</v>
      </c>
      <c r="C57" s="41" t="s">
        <v>67</v>
      </c>
      <c r="D57" s="42" t="s">
        <v>139</v>
      </c>
      <c r="E57" s="43">
        <v>345707.0</v>
      </c>
      <c r="F57" s="44" t="s">
        <v>139</v>
      </c>
      <c r="G57" s="45">
        <v>7.0</v>
      </c>
      <c r="H57" s="54">
        <v>5.53427009433828</v>
      </c>
      <c r="I57" s="47" t="s">
        <v>126</v>
      </c>
      <c r="J57" s="39" t="str">
        <f t="shared" si="2"/>
        <v>069545 - MARA 40</v>
      </c>
      <c r="K57" s="47">
        <f t="shared" si="3"/>
        <v>10.293</v>
      </c>
      <c r="L57" s="48">
        <v>5.64</v>
      </c>
      <c r="M57" s="49">
        <f t="shared" si="4"/>
        <v>10.293</v>
      </c>
      <c r="N57" s="39" t="s">
        <v>40</v>
      </c>
      <c r="O57" s="39" t="s">
        <v>41</v>
      </c>
      <c r="P57" s="39" t="s">
        <v>42</v>
      </c>
      <c r="Q57" s="47" t="str">
        <f t="shared" si="5"/>
        <v>20*20</v>
      </c>
      <c r="R57" s="50">
        <v>1.0</v>
      </c>
      <c r="S57" s="51">
        <v>0.0</v>
      </c>
      <c r="T57" s="51">
        <v>0.0</v>
      </c>
      <c r="U57" s="51">
        <v>0.0</v>
      </c>
      <c r="V57" s="39" t="s">
        <v>43</v>
      </c>
      <c r="W57" s="47" t="str">
        <f t="shared" si="6"/>
        <v>BLANC - 20*20 - PAS DE REHAUSSE - (Largeur 40mm Profondeur 15mm)</v>
      </c>
      <c r="X57" s="50">
        <v>0.0</v>
      </c>
      <c r="Y57" s="52" t="s">
        <v>44</v>
      </c>
      <c r="Z57" s="47" t="str">
        <f t="shared" si="7"/>
        <v>MARA 40 BLANC 20*20 VERRE</v>
      </c>
      <c r="AA57" s="39" t="s">
        <v>45</v>
      </c>
      <c r="AB57" s="39" t="s">
        <v>46</v>
      </c>
      <c r="AC57" s="47" t="str">
        <f t="shared" si="8"/>
        <v>MARA 40 BLANC 20*20 VERRE</v>
      </c>
      <c r="AD57" s="39" t="s">
        <v>127</v>
      </c>
      <c r="AE57" s="39" t="str">
        <f t="shared" si="9"/>
        <v>ROMY  20*20 BLANC VERRE PAS DE REHAUSSE - CADRES CLASSIQUES - Pas de passepartout - Dos classique sans chevalet (Largeur 40mm Profondeur 15mm)</v>
      </c>
      <c r="AF57" s="39" t="str">
        <f t="shared" si="1"/>
        <v>ROMY  20*20 BLANC VERRE PAS DE REHAUSSE - CADRES CLASSIQUES - Pas de passepartout - Dos classique sans chevalet (Largeur 40mm Profondeur 15mm)</v>
      </c>
      <c r="AG57" s="53">
        <f t="shared" si="10"/>
        <v>9.96168617</v>
      </c>
      <c r="AH57" s="39"/>
      <c r="AI57" s="39"/>
      <c r="AJ57" s="39"/>
      <c r="AK57" s="39"/>
      <c r="AL57" s="39"/>
      <c r="AM57" s="39"/>
      <c r="AN57" s="39"/>
      <c r="AO57" s="39"/>
      <c r="AP57" s="39"/>
    </row>
    <row r="58" ht="15.75" customHeight="1">
      <c r="A58" s="39">
        <v>1097.0</v>
      </c>
      <c r="B58" s="40" t="s">
        <v>124</v>
      </c>
      <c r="C58" s="41" t="s">
        <v>69</v>
      </c>
      <c r="D58" s="42" t="s">
        <v>140</v>
      </c>
      <c r="E58" s="43">
        <v>345707.0</v>
      </c>
      <c r="F58" s="44" t="s">
        <v>140</v>
      </c>
      <c r="G58" s="45">
        <v>4.0</v>
      </c>
      <c r="H58" s="54">
        <v>6.584369755653379</v>
      </c>
      <c r="I58" s="47" t="s">
        <v>126</v>
      </c>
      <c r="J58" s="39" t="str">
        <f t="shared" si="2"/>
        <v>069546 - MARA 40</v>
      </c>
      <c r="K58" s="47">
        <f t="shared" si="3"/>
        <v>12.24575</v>
      </c>
      <c r="L58" s="48">
        <v>6.71</v>
      </c>
      <c r="M58" s="49">
        <f t="shared" si="4"/>
        <v>12.24575</v>
      </c>
      <c r="N58" s="39" t="s">
        <v>40</v>
      </c>
      <c r="O58" s="39" t="s">
        <v>41</v>
      </c>
      <c r="P58" s="39" t="s">
        <v>42</v>
      </c>
      <c r="Q58" s="47" t="str">
        <f t="shared" si="5"/>
        <v>20*30</v>
      </c>
      <c r="R58" s="50">
        <v>1.0</v>
      </c>
      <c r="S58" s="51">
        <v>0.0</v>
      </c>
      <c r="T58" s="51">
        <v>1.0</v>
      </c>
      <c r="U58" s="51">
        <v>0.0</v>
      </c>
      <c r="V58" s="39" t="s">
        <v>43</v>
      </c>
      <c r="W58" s="47" t="str">
        <f t="shared" si="6"/>
        <v>BLANC - 20*30 - PAS DE REHAUSSE - (Largeur 40mm Profondeur 15mm)</v>
      </c>
      <c r="X58" s="50">
        <v>0.0</v>
      </c>
      <c r="Y58" s="52" t="s">
        <v>44</v>
      </c>
      <c r="Z58" s="47" t="str">
        <f t="shared" si="7"/>
        <v>MARA 40 BLANC 20*30 VERRE</v>
      </c>
      <c r="AA58" s="39" t="s">
        <v>45</v>
      </c>
      <c r="AB58" s="39" t="s">
        <v>46</v>
      </c>
      <c r="AC58" s="47" t="str">
        <f t="shared" si="8"/>
        <v>MARA 40 BLANC 20*30 VERRE</v>
      </c>
      <c r="AD58" s="39" t="s">
        <v>127</v>
      </c>
      <c r="AE58" s="39" t="str">
        <f t="shared" si="9"/>
        <v>ROMY  20*30 BLANC VERRE PAS DE REHAUSSE - CADRES CLASSIQUES - Pas de passepartout - Dos classique sans chevalet (Largeur 40mm Profondeur 15mm)</v>
      </c>
      <c r="AF58" s="39" t="str">
        <f t="shared" si="1"/>
        <v>ROMY  20*30 BLANC VERRE PAS DE REHAUSSE - CADRES CLASSIQUES - Pas de passepartout - Dos classique sans chevalet (Largeur 40mm Profondeur 15mm)</v>
      </c>
      <c r="AG58" s="53">
        <f t="shared" si="10"/>
        <v>11.85186556</v>
      </c>
      <c r="AH58" s="39"/>
      <c r="AI58" s="39"/>
      <c r="AJ58" s="39"/>
      <c r="AK58" s="39"/>
      <c r="AL58" s="39"/>
      <c r="AM58" s="39"/>
      <c r="AN58" s="39"/>
      <c r="AO58" s="39"/>
      <c r="AP58" s="39"/>
    </row>
    <row r="59" ht="15.75" customHeight="1">
      <c r="A59" s="39">
        <v>1097.0</v>
      </c>
      <c r="B59" s="40" t="s">
        <v>124</v>
      </c>
      <c r="C59" s="41" t="s">
        <v>69</v>
      </c>
      <c r="D59" s="42" t="s">
        <v>141</v>
      </c>
      <c r="E59" s="43">
        <v>345707.0</v>
      </c>
      <c r="F59" s="44" t="s">
        <v>140</v>
      </c>
      <c r="G59" s="45">
        <v>4.0</v>
      </c>
      <c r="H59" s="54">
        <v>6.584369755653379</v>
      </c>
      <c r="I59" s="47" t="s">
        <v>126</v>
      </c>
      <c r="J59" s="39" t="str">
        <f t="shared" si="2"/>
        <v>069546DC - MARA 40</v>
      </c>
      <c r="K59" s="47">
        <f t="shared" si="3"/>
        <v>12.24575</v>
      </c>
      <c r="L59" s="48">
        <v>6.71</v>
      </c>
      <c r="M59" s="49">
        <f t="shared" si="4"/>
        <v>12.24575</v>
      </c>
      <c r="N59" s="39" t="s">
        <v>40</v>
      </c>
      <c r="O59" s="39" t="s">
        <v>41</v>
      </c>
      <c r="P59" s="39" t="s">
        <v>42</v>
      </c>
      <c r="Q59" s="47" t="str">
        <f t="shared" si="5"/>
        <v>20*30</v>
      </c>
      <c r="R59" s="50">
        <v>1.0</v>
      </c>
      <c r="S59" s="51">
        <v>0.0</v>
      </c>
      <c r="T59" s="51">
        <v>1.0</v>
      </c>
      <c r="U59" s="51">
        <v>1.0</v>
      </c>
      <c r="V59" s="39" t="s">
        <v>43</v>
      </c>
      <c r="W59" s="47" t="str">
        <f t="shared" si="6"/>
        <v>BLANC - 20*30 - PAS DE REHAUSSE - (Largeur 40mm Profondeur 15mm)</v>
      </c>
      <c r="X59" s="50">
        <v>0.0</v>
      </c>
      <c r="Y59" s="52" t="s">
        <v>44</v>
      </c>
      <c r="Z59" s="47" t="str">
        <f t="shared" si="7"/>
        <v>MARA 40 BLANC 20*30 VERRE</v>
      </c>
      <c r="AA59" s="39" t="s">
        <v>45</v>
      </c>
      <c r="AB59" s="39" t="s">
        <v>49</v>
      </c>
      <c r="AC59" s="47" t="str">
        <f t="shared" si="8"/>
        <v>MARA 40 BLANC 20*30 VERRE</v>
      </c>
      <c r="AD59" s="39" t="s">
        <v>127</v>
      </c>
      <c r="AE59" s="39" t="str">
        <f t="shared" si="9"/>
        <v>ROMY  20*30 BLANC VERRE PAS DE REHAUSSE - CADRES CLASSIQUES - Pas de passepartout - DOS AVEC CHEVALET (Largeur 40mm Profondeur 15mm)</v>
      </c>
      <c r="AF59" s="39" t="str">
        <f t="shared" si="1"/>
        <v>ROMY  20*30 BLANC VERRE PAS DE REHAUSSE - CADRES CLASSIQUES - Pas de passepartout - DOS AVEC CHEVALET (Largeur 40mm Profondeur 15mm)</v>
      </c>
      <c r="AG59" s="53">
        <f t="shared" si="10"/>
        <v>11.85186556</v>
      </c>
      <c r="AH59" s="39"/>
      <c r="AI59" s="39"/>
      <c r="AJ59" s="39"/>
      <c r="AK59" s="39"/>
      <c r="AL59" s="39"/>
      <c r="AM59" s="39"/>
      <c r="AN59" s="39"/>
      <c r="AO59" s="39"/>
      <c r="AP59" s="39"/>
    </row>
    <row r="60" ht="15.75" customHeight="1">
      <c r="A60" s="39">
        <v>1098.0</v>
      </c>
      <c r="B60" s="40" t="s">
        <v>124</v>
      </c>
      <c r="C60" s="41" t="s">
        <v>72</v>
      </c>
      <c r="D60" s="42" t="s">
        <v>142</v>
      </c>
      <c r="E60" s="43">
        <v>345707.0</v>
      </c>
      <c r="F60" s="44" t="s">
        <v>142</v>
      </c>
      <c r="G60" s="45">
        <v>1.0</v>
      </c>
      <c r="H60" s="54">
        <v>8.677366748644927</v>
      </c>
      <c r="I60" s="47" t="s">
        <v>126</v>
      </c>
      <c r="J60" s="39" t="str">
        <f t="shared" si="2"/>
        <v>069547 - MARA 40</v>
      </c>
      <c r="K60" s="47">
        <f t="shared" si="3"/>
        <v>16.133</v>
      </c>
      <c r="L60" s="48">
        <v>8.84</v>
      </c>
      <c r="M60" s="49">
        <f t="shared" si="4"/>
        <v>16.133</v>
      </c>
      <c r="N60" s="39" t="s">
        <v>40</v>
      </c>
      <c r="O60" s="39" t="s">
        <v>41</v>
      </c>
      <c r="P60" s="39" t="s">
        <v>42</v>
      </c>
      <c r="Q60" s="47" t="str">
        <f t="shared" si="5"/>
        <v>20*50</v>
      </c>
      <c r="R60" s="50">
        <v>1.0</v>
      </c>
      <c r="S60" s="51">
        <v>0.0</v>
      </c>
      <c r="T60" s="51">
        <v>0.0</v>
      </c>
      <c r="U60" s="51">
        <v>0.0</v>
      </c>
      <c r="V60" s="39" t="s">
        <v>43</v>
      </c>
      <c r="W60" s="47" t="str">
        <f t="shared" si="6"/>
        <v>BLANC - 20*50 - PAS DE REHAUSSE - (Largeur 40mm Profondeur 15mm)</v>
      </c>
      <c r="X60" s="50">
        <v>0.0</v>
      </c>
      <c r="Y60" s="52" t="s">
        <v>44</v>
      </c>
      <c r="Z60" s="47" t="str">
        <f t="shared" si="7"/>
        <v>MARA 40 BLANC 20*50 VERRE</v>
      </c>
      <c r="AA60" s="39" t="s">
        <v>45</v>
      </c>
      <c r="AB60" s="39" t="s">
        <v>46</v>
      </c>
      <c r="AC60" s="47" t="str">
        <f t="shared" si="8"/>
        <v>MARA 40 BLANC 20*50 VERRE</v>
      </c>
      <c r="AD60" s="39" t="s">
        <v>127</v>
      </c>
      <c r="AE60" s="39" t="str">
        <f t="shared" si="9"/>
        <v>ROMY  20*50 BLANC VERRE PAS DE REHAUSSE - CADRES CLASSIQUES - Pas de passepartout - Dos classique sans chevalet (Largeur 40mm Profondeur 15mm)</v>
      </c>
      <c r="AF60" s="39" t="str">
        <f t="shared" si="1"/>
        <v>ROMY  20*50 BLANC VERRE PAS DE REHAUSSE - CADRES CLASSIQUES - Pas de passepartout - Dos classique sans chevalet (Largeur 40mm Profondeur 15mm)</v>
      </c>
      <c r="AG60" s="53">
        <f t="shared" si="10"/>
        <v>15.61926015</v>
      </c>
      <c r="AH60" s="39"/>
      <c r="AI60" s="39"/>
      <c r="AJ60" s="39"/>
      <c r="AK60" s="39"/>
      <c r="AL60" s="39"/>
      <c r="AM60" s="39"/>
      <c r="AN60" s="39"/>
      <c r="AO60" s="39"/>
      <c r="AP60" s="39"/>
    </row>
    <row r="61" ht="15.75" customHeight="1">
      <c r="A61" s="39">
        <v>1099.0</v>
      </c>
      <c r="B61" s="40" t="s">
        <v>124</v>
      </c>
      <c r="C61" s="41" t="s">
        <v>74</v>
      </c>
      <c r="D61" s="42" t="s">
        <v>143</v>
      </c>
      <c r="E61" s="43">
        <v>345707.0</v>
      </c>
      <c r="F61" s="44" t="s">
        <v>143</v>
      </c>
      <c r="G61" s="45">
        <v>8.0</v>
      </c>
      <c r="H61" s="54">
        <v>9.744752001092783</v>
      </c>
      <c r="I61" s="47" t="s">
        <v>126</v>
      </c>
      <c r="J61" s="39" t="str">
        <f t="shared" si="2"/>
        <v>069548 - MARA 40</v>
      </c>
      <c r="K61" s="47">
        <f t="shared" si="3"/>
        <v>18.12225</v>
      </c>
      <c r="L61" s="48">
        <v>9.93</v>
      </c>
      <c r="M61" s="49">
        <f t="shared" si="4"/>
        <v>18.12225</v>
      </c>
      <c r="N61" s="39" t="s">
        <v>40</v>
      </c>
      <c r="O61" s="39" t="s">
        <v>41</v>
      </c>
      <c r="P61" s="39" t="s">
        <v>42</v>
      </c>
      <c r="Q61" s="47" t="str">
        <f t="shared" si="5"/>
        <v>20*60</v>
      </c>
      <c r="R61" s="50">
        <v>1.0</v>
      </c>
      <c r="S61" s="51">
        <v>0.0</v>
      </c>
      <c r="T61" s="51">
        <v>0.0</v>
      </c>
      <c r="U61" s="51">
        <v>0.0</v>
      </c>
      <c r="V61" s="39" t="s">
        <v>43</v>
      </c>
      <c r="W61" s="47" t="str">
        <f t="shared" si="6"/>
        <v>BLANC - 20*60 - PAS DE REHAUSSE - (Largeur 40mm Profondeur 15mm)</v>
      </c>
      <c r="X61" s="50">
        <v>0.0</v>
      </c>
      <c r="Y61" s="52" t="s">
        <v>44</v>
      </c>
      <c r="Z61" s="47" t="str">
        <f t="shared" si="7"/>
        <v>MARA 40 BLANC 20*60 VERRE</v>
      </c>
      <c r="AA61" s="39" t="s">
        <v>45</v>
      </c>
      <c r="AB61" s="39" t="s">
        <v>46</v>
      </c>
      <c r="AC61" s="47" t="str">
        <f t="shared" si="8"/>
        <v>MARA 40 BLANC 20*60 VERRE</v>
      </c>
      <c r="AD61" s="39" t="s">
        <v>127</v>
      </c>
      <c r="AE61" s="39" t="str">
        <f t="shared" si="9"/>
        <v>ROMY  20*60 BLANC VERRE PAS DE REHAUSSE - CADRES CLASSIQUES - Pas de passepartout - Dos classique sans chevalet (Largeur 40mm Profondeur 15mm)</v>
      </c>
      <c r="AF61" s="39" t="str">
        <f t="shared" si="1"/>
        <v>ROMY  20*60 BLANC VERRE PAS DE REHAUSSE - CADRES CLASSIQUES - Pas de passepartout - Dos classique sans chevalet (Largeur 40mm Profondeur 15mm)</v>
      </c>
      <c r="AG61" s="53">
        <f t="shared" si="10"/>
        <v>17.5405536</v>
      </c>
      <c r="AH61" s="39"/>
      <c r="AI61" s="39"/>
      <c r="AJ61" s="39"/>
      <c r="AK61" s="39"/>
      <c r="AL61" s="39"/>
      <c r="AM61" s="39"/>
      <c r="AN61" s="39"/>
      <c r="AO61" s="39"/>
      <c r="AP61" s="39"/>
    </row>
    <row r="62" ht="15.75" customHeight="1">
      <c r="A62" s="39">
        <v>1100.0</v>
      </c>
      <c r="B62" s="40" t="s">
        <v>124</v>
      </c>
      <c r="C62" s="41" t="s">
        <v>76</v>
      </c>
      <c r="D62" s="42" t="s">
        <v>144</v>
      </c>
      <c r="E62" s="43">
        <v>345707.0</v>
      </c>
      <c r="F62" s="44" t="s">
        <v>144</v>
      </c>
      <c r="G62" s="45">
        <v>5.0</v>
      </c>
      <c r="H62" s="54">
        <v>7.058283045876518</v>
      </c>
      <c r="I62" s="47" t="s">
        <v>126</v>
      </c>
      <c r="J62" s="39" t="str">
        <f t="shared" si="2"/>
        <v>069549 - MARA 40</v>
      </c>
      <c r="K62" s="47">
        <f t="shared" si="3"/>
        <v>13.12175</v>
      </c>
      <c r="L62" s="48">
        <v>7.19</v>
      </c>
      <c r="M62" s="49">
        <f t="shared" si="4"/>
        <v>13.12175</v>
      </c>
      <c r="N62" s="39" t="s">
        <v>40</v>
      </c>
      <c r="O62" s="39" t="s">
        <v>41</v>
      </c>
      <c r="P62" s="39" t="s">
        <v>42</v>
      </c>
      <c r="Q62" s="47" t="str">
        <f t="shared" si="5"/>
        <v>21*29,7</v>
      </c>
      <c r="R62" s="50">
        <v>1.0</v>
      </c>
      <c r="S62" s="51">
        <v>0.0</v>
      </c>
      <c r="T62" s="51">
        <v>0.0</v>
      </c>
      <c r="U62" s="51">
        <v>0.0</v>
      </c>
      <c r="V62" s="39" t="s">
        <v>43</v>
      </c>
      <c r="W62" s="47" t="str">
        <f t="shared" si="6"/>
        <v>BLANC - 21*29,7 - PAS DE REHAUSSE - (Largeur 40mm Profondeur 15mm)</v>
      </c>
      <c r="X62" s="50">
        <v>0.0</v>
      </c>
      <c r="Y62" s="52" t="s">
        <v>44</v>
      </c>
      <c r="Z62" s="47" t="str">
        <f t="shared" si="7"/>
        <v>MARA 40 BLANC 21*29,7 VERRE</v>
      </c>
      <c r="AA62" s="39" t="s">
        <v>45</v>
      </c>
      <c r="AB62" s="39" t="s">
        <v>46</v>
      </c>
      <c r="AC62" s="47" t="str">
        <f t="shared" si="8"/>
        <v>MARA 40 BLANC 21*29,7 VERRE</v>
      </c>
      <c r="AD62" s="39" t="s">
        <v>127</v>
      </c>
      <c r="AE62" s="39" t="str">
        <f t="shared" si="9"/>
        <v>ROMY  21*29,7 BLANC VERRE PAS DE REHAUSSE - CADRES CLASSIQUES - Pas de passepartout - Dos classique sans chevalet (Largeur 40mm Profondeur 15mm)</v>
      </c>
      <c r="AF62" s="39" t="str">
        <f t="shared" si="1"/>
        <v>ROMY  21*29,7 BLANC VERRE PAS DE REHAUSSE - CADRES CLASSIQUES - Pas de passepartout - Dos classique sans chevalet (Largeur 40mm Profondeur 15mm)</v>
      </c>
      <c r="AG62" s="53">
        <f t="shared" si="10"/>
        <v>12.70490948</v>
      </c>
      <c r="AH62" s="39"/>
      <c r="AI62" s="39"/>
      <c r="AJ62" s="39"/>
      <c r="AK62" s="39"/>
      <c r="AL62" s="39"/>
      <c r="AM62" s="39"/>
      <c r="AN62" s="39"/>
      <c r="AO62" s="39"/>
      <c r="AP62" s="39"/>
    </row>
    <row r="63" ht="15.75" customHeight="1">
      <c r="A63" s="39">
        <v>1101.0</v>
      </c>
      <c r="B63" s="40" t="s">
        <v>124</v>
      </c>
      <c r="C63" s="41" t="s">
        <v>78</v>
      </c>
      <c r="D63" s="42" t="s">
        <v>145</v>
      </c>
      <c r="E63" s="43">
        <v>345707.0</v>
      </c>
      <c r="F63" s="44" t="s">
        <v>145</v>
      </c>
      <c r="G63" s="45">
        <v>1.0</v>
      </c>
      <c r="H63" s="54">
        <v>9.1239111862412</v>
      </c>
      <c r="I63" s="47" t="s">
        <v>126</v>
      </c>
      <c r="J63" s="39" t="str">
        <f t="shared" si="2"/>
        <v>069550 - MARA 40</v>
      </c>
      <c r="K63" s="47">
        <f t="shared" si="3"/>
        <v>16.9725</v>
      </c>
      <c r="L63" s="48">
        <v>9.3</v>
      </c>
      <c r="M63" s="49">
        <f t="shared" si="4"/>
        <v>16.9725</v>
      </c>
      <c r="N63" s="39" t="s">
        <v>40</v>
      </c>
      <c r="O63" s="39" t="s">
        <v>41</v>
      </c>
      <c r="P63" s="39" t="s">
        <v>42</v>
      </c>
      <c r="Q63" s="47" t="str">
        <f t="shared" si="5"/>
        <v>23*50</v>
      </c>
      <c r="R63" s="50">
        <v>1.0</v>
      </c>
      <c r="S63" s="51">
        <v>0.0</v>
      </c>
      <c r="T63" s="51">
        <v>0.0</v>
      </c>
      <c r="U63" s="51">
        <v>0.0</v>
      </c>
      <c r="V63" s="39" t="s">
        <v>43</v>
      </c>
      <c r="W63" s="47" t="str">
        <f t="shared" si="6"/>
        <v>BLANC - 23*50 - PAS DE REHAUSSE - (Largeur 40mm Profondeur 15mm)</v>
      </c>
      <c r="X63" s="50">
        <v>0.0</v>
      </c>
      <c r="Y63" s="52" t="s">
        <v>44</v>
      </c>
      <c r="Z63" s="47" t="str">
        <f t="shared" si="7"/>
        <v>MARA 40 BLANC 23*50 VERRE</v>
      </c>
      <c r="AA63" s="39" t="s">
        <v>45</v>
      </c>
      <c r="AB63" s="39" t="s">
        <v>46</v>
      </c>
      <c r="AC63" s="47" t="str">
        <f t="shared" si="8"/>
        <v>MARA 40 BLANC 23*50 VERRE</v>
      </c>
      <c r="AD63" s="39" t="s">
        <v>127</v>
      </c>
      <c r="AE63" s="39" t="str">
        <f t="shared" si="9"/>
        <v>ROMY  23*50 BLANC VERRE PAS DE REHAUSSE - CADRES CLASSIQUES - Pas de passepartout - Dos classique sans chevalet (Largeur 40mm Profondeur 15mm)</v>
      </c>
      <c r="AF63" s="39" t="str">
        <f t="shared" si="1"/>
        <v>ROMY  23*50 BLANC VERRE PAS DE REHAUSSE - CADRES CLASSIQUES - Pas de passepartout - Dos classique sans chevalet (Largeur 40mm Profondeur 15mm)</v>
      </c>
      <c r="AG63" s="53">
        <f t="shared" si="10"/>
        <v>16.42304014</v>
      </c>
      <c r="AH63" s="39"/>
      <c r="AI63" s="39"/>
      <c r="AJ63" s="39"/>
      <c r="AK63" s="39"/>
      <c r="AL63" s="39"/>
      <c r="AM63" s="39"/>
      <c r="AN63" s="39"/>
      <c r="AO63" s="39"/>
      <c r="AP63" s="39"/>
    </row>
    <row r="64" ht="15.75" customHeight="1">
      <c r="A64" s="39">
        <v>1102.0</v>
      </c>
      <c r="B64" s="40" t="s">
        <v>124</v>
      </c>
      <c r="C64" s="41" t="s">
        <v>80</v>
      </c>
      <c r="D64" s="42" t="s">
        <v>146</v>
      </c>
      <c r="E64" s="43">
        <v>345707.0</v>
      </c>
      <c r="F64" s="44" t="s">
        <v>146</v>
      </c>
      <c r="G64" s="45">
        <v>8.0</v>
      </c>
      <c r="H64" s="54">
        <v>7.058283045876518</v>
      </c>
      <c r="I64" s="47" t="s">
        <v>126</v>
      </c>
      <c r="J64" s="39" t="str">
        <f t="shared" si="2"/>
        <v>069551 - MARA 40</v>
      </c>
      <c r="K64" s="47">
        <f t="shared" si="3"/>
        <v>13.12175</v>
      </c>
      <c r="L64" s="48">
        <v>7.19</v>
      </c>
      <c r="M64" s="49">
        <f t="shared" si="4"/>
        <v>13.12175</v>
      </c>
      <c r="N64" s="39" t="s">
        <v>40</v>
      </c>
      <c r="O64" s="39" t="s">
        <v>41</v>
      </c>
      <c r="P64" s="39" t="s">
        <v>42</v>
      </c>
      <c r="Q64" s="47" t="str">
        <f t="shared" si="5"/>
        <v>24*30</v>
      </c>
      <c r="R64" s="50">
        <v>1.0</v>
      </c>
      <c r="S64" s="51">
        <v>0.0</v>
      </c>
      <c r="T64" s="51">
        <v>0.0</v>
      </c>
      <c r="U64" s="51">
        <v>0.0</v>
      </c>
      <c r="V64" s="39" t="s">
        <v>43</v>
      </c>
      <c r="W64" s="47" t="str">
        <f t="shared" si="6"/>
        <v>BLANC - 24*30 - PAS DE REHAUSSE - (Largeur 40mm Profondeur 15mm)</v>
      </c>
      <c r="X64" s="50">
        <v>0.0</v>
      </c>
      <c r="Y64" s="52" t="s">
        <v>44</v>
      </c>
      <c r="Z64" s="47" t="str">
        <f t="shared" si="7"/>
        <v>MARA 40 BLANC 24*30 VERRE</v>
      </c>
      <c r="AA64" s="39" t="s">
        <v>45</v>
      </c>
      <c r="AB64" s="39" t="s">
        <v>46</v>
      </c>
      <c r="AC64" s="47" t="str">
        <f t="shared" si="8"/>
        <v>MARA 40 BLANC 24*30 VERRE</v>
      </c>
      <c r="AD64" s="39" t="s">
        <v>127</v>
      </c>
      <c r="AE64" s="39" t="str">
        <f t="shared" si="9"/>
        <v>ROMY  24*30 BLANC VERRE PAS DE REHAUSSE - CADRES CLASSIQUES - Pas de passepartout - Dos classique sans chevalet (Largeur 40mm Profondeur 15mm)</v>
      </c>
      <c r="AF64" s="39" t="str">
        <f t="shared" si="1"/>
        <v>ROMY  24*30 BLANC VERRE PAS DE REHAUSSE - CADRES CLASSIQUES - Pas de passepartout - Dos classique sans chevalet (Largeur 40mm Profondeur 15mm)</v>
      </c>
      <c r="AG64" s="53">
        <f t="shared" si="10"/>
        <v>12.70490948</v>
      </c>
      <c r="AH64" s="39"/>
      <c r="AI64" s="39"/>
      <c r="AJ64" s="39"/>
      <c r="AK64" s="39"/>
      <c r="AL64" s="39"/>
      <c r="AM64" s="39"/>
      <c r="AN64" s="39"/>
      <c r="AO64" s="39"/>
      <c r="AP64" s="39"/>
    </row>
    <row r="65" ht="15.75" customHeight="1">
      <c r="A65" s="39">
        <v>1103.0</v>
      </c>
      <c r="B65" s="40" t="s">
        <v>124</v>
      </c>
      <c r="C65" s="41" t="s">
        <v>82</v>
      </c>
      <c r="D65" s="42" t="s">
        <v>147</v>
      </c>
      <c r="E65" s="43">
        <v>345707.0</v>
      </c>
      <c r="F65" s="44" t="s">
        <v>147</v>
      </c>
      <c r="G65" s="45">
        <v>5.0</v>
      </c>
      <c r="H65" s="54">
        <v>9.423528099209015</v>
      </c>
      <c r="I65" s="47" t="s">
        <v>126</v>
      </c>
      <c r="J65" s="39" t="str">
        <f t="shared" si="2"/>
        <v>069552 - MARA 40</v>
      </c>
      <c r="K65" s="47">
        <f t="shared" si="3"/>
        <v>17.52</v>
      </c>
      <c r="L65" s="48">
        <v>9.6</v>
      </c>
      <c r="M65" s="49">
        <f t="shared" si="4"/>
        <v>17.52</v>
      </c>
      <c r="N65" s="39" t="s">
        <v>40</v>
      </c>
      <c r="O65" s="39" t="s">
        <v>41</v>
      </c>
      <c r="P65" s="39" t="s">
        <v>42</v>
      </c>
      <c r="Q65" s="47" t="str">
        <f t="shared" si="5"/>
        <v>25*50</v>
      </c>
      <c r="R65" s="50">
        <v>1.0</v>
      </c>
      <c r="S65" s="51">
        <v>0.0</v>
      </c>
      <c r="T65" s="51">
        <v>0.0</v>
      </c>
      <c r="U65" s="51">
        <v>0.0</v>
      </c>
      <c r="V65" s="39" t="s">
        <v>43</v>
      </c>
      <c r="W65" s="47" t="str">
        <f t="shared" si="6"/>
        <v>BLANC - 25*50 - PAS DE REHAUSSE - (Largeur 40mm Profondeur 15mm)</v>
      </c>
      <c r="X65" s="50">
        <v>0.0</v>
      </c>
      <c r="Y65" s="52" t="s">
        <v>44</v>
      </c>
      <c r="Z65" s="47" t="str">
        <f t="shared" si="7"/>
        <v>MARA 40 BLANC 25*50 VERRE</v>
      </c>
      <c r="AA65" s="39" t="s">
        <v>45</v>
      </c>
      <c r="AB65" s="39" t="s">
        <v>46</v>
      </c>
      <c r="AC65" s="47" t="str">
        <f t="shared" si="8"/>
        <v>MARA 40 BLANC 25*50 VERRE</v>
      </c>
      <c r="AD65" s="39" t="s">
        <v>127</v>
      </c>
      <c r="AE65" s="39" t="str">
        <f t="shared" si="9"/>
        <v>ROMY  25*50 BLANC VERRE PAS DE REHAUSSE - CADRES CLASSIQUES - Pas de passepartout - Dos classique sans chevalet (Largeur 40mm Profondeur 15mm)</v>
      </c>
      <c r="AF65" s="39" t="str">
        <f t="shared" si="1"/>
        <v>ROMY  25*50 BLANC VERRE PAS DE REHAUSSE - CADRES CLASSIQUES - Pas de passepartout - Dos classique sans chevalet (Largeur 40mm Profondeur 15mm)</v>
      </c>
      <c r="AG65" s="53">
        <f t="shared" si="10"/>
        <v>16.96235058</v>
      </c>
      <c r="AH65" s="39"/>
      <c r="AI65" s="39"/>
      <c r="AJ65" s="39"/>
      <c r="AK65" s="39"/>
      <c r="AL65" s="39"/>
      <c r="AM65" s="39"/>
      <c r="AN65" s="39"/>
      <c r="AO65" s="39"/>
      <c r="AP65" s="39"/>
    </row>
    <row r="66" ht="15.75" customHeight="1">
      <c r="A66" s="39">
        <v>1104.0</v>
      </c>
      <c r="B66" s="40" t="s">
        <v>124</v>
      </c>
      <c r="C66" s="41" t="s">
        <v>84</v>
      </c>
      <c r="D66" s="42" t="s">
        <v>148</v>
      </c>
      <c r="E66" s="43">
        <v>345707.0</v>
      </c>
      <c r="F66" s="44" t="s">
        <v>148</v>
      </c>
      <c r="G66" s="45">
        <v>2.0</v>
      </c>
      <c r="H66" s="54">
        <v>9.099423265469788</v>
      </c>
      <c r="I66" s="47" t="s">
        <v>126</v>
      </c>
      <c r="J66" s="39" t="str">
        <f t="shared" si="2"/>
        <v>069553 - MARA 40</v>
      </c>
      <c r="K66" s="47">
        <f t="shared" si="3"/>
        <v>16.91775</v>
      </c>
      <c r="L66" s="48">
        <v>9.27</v>
      </c>
      <c r="M66" s="49">
        <f t="shared" si="4"/>
        <v>16.91775</v>
      </c>
      <c r="N66" s="39" t="s">
        <v>40</v>
      </c>
      <c r="O66" s="39" t="s">
        <v>41</v>
      </c>
      <c r="P66" s="39" t="s">
        <v>42</v>
      </c>
      <c r="Q66" s="47" t="str">
        <f t="shared" si="5"/>
        <v>29,7*42</v>
      </c>
      <c r="R66" s="50">
        <v>1.0</v>
      </c>
      <c r="S66" s="51">
        <v>0.0</v>
      </c>
      <c r="T66" s="51">
        <v>0.0</v>
      </c>
      <c r="U66" s="51">
        <v>0.0</v>
      </c>
      <c r="V66" s="39" t="s">
        <v>43</v>
      </c>
      <c r="W66" s="47" t="str">
        <f t="shared" si="6"/>
        <v>BLANC - 29,7*42 - PAS DE REHAUSSE - (Largeur 40mm Profondeur 15mm)</v>
      </c>
      <c r="X66" s="50">
        <v>0.0</v>
      </c>
      <c r="Y66" s="52" t="s">
        <v>44</v>
      </c>
      <c r="Z66" s="47" t="str">
        <f t="shared" si="7"/>
        <v>MARA 40 BLANC 29,7*42 VERRE</v>
      </c>
      <c r="AA66" s="39" t="s">
        <v>45</v>
      </c>
      <c r="AB66" s="39" t="s">
        <v>46</v>
      </c>
      <c r="AC66" s="47" t="str">
        <f t="shared" si="8"/>
        <v>MARA 40 BLANC 29,7*42 VERRE</v>
      </c>
      <c r="AD66" s="39" t="s">
        <v>127</v>
      </c>
      <c r="AE66" s="39" t="str">
        <f t="shared" si="9"/>
        <v>ROMY  29,7*42 BLANC VERRE PAS DE REHAUSSE - CADRES CLASSIQUES - Pas de passepartout - Dos classique sans chevalet (Largeur 40mm Profondeur 15mm)</v>
      </c>
      <c r="AF66" s="39" t="str">
        <f t="shared" si="1"/>
        <v>ROMY  29,7*42 BLANC VERRE PAS DE REHAUSSE - CADRES CLASSIQUES - Pas de passepartout - Dos classique sans chevalet (Largeur 40mm Profondeur 15mm)</v>
      </c>
      <c r="AG66" s="53">
        <f t="shared" si="10"/>
        <v>16.37896188</v>
      </c>
      <c r="AH66" s="39"/>
      <c r="AI66" s="39"/>
      <c r="AJ66" s="39"/>
      <c r="AK66" s="39"/>
      <c r="AL66" s="39"/>
      <c r="AM66" s="39"/>
      <c r="AN66" s="39"/>
      <c r="AO66" s="39"/>
      <c r="AP66" s="39"/>
    </row>
    <row r="67" ht="15.75" customHeight="1">
      <c r="A67" s="39">
        <v>1105.0</v>
      </c>
      <c r="B67" s="40" t="s">
        <v>124</v>
      </c>
      <c r="C67" s="41" t="s">
        <v>86</v>
      </c>
      <c r="D67" s="42" t="s">
        <v>149</v>
      </c>
      <c r="E67" s="43">
        <v>345707.0</v>
      </c>
      <c r="F67" s="44" t="s">
        <v>149</v>
      </c>
      <c r="G67" s="45">
        <v>9.0</v>
      </c>
      <c r="H67" s="54">
        <v>7.762670884536437</v>
      </c>
      <c r="I67" s="47" t="s">
        <v>126</v>
      </c>
      <c r="J67" s="39" t="str">
        <f t="shared" si="2"/>
        <v>069554 - MARA 40</v>
      </c>
      <c r="K67" s="47">
        <f t="shared" si="3"/>
        <v>14.43575</v>
      </c>
      <c r="L67" s="48">
        <v>7.91</v>
      </c>
      <c r="M67" s="49">
        <f t="shared" si="4"/>
        <v>14.43575</v>
      </c>
      <c r="N67" s="39" t="s">
        <v>40</v>
      </c>
      <c r="O67" s="39" t="s">
        <v>41</v>
      </c>
      <c r="P67" s="39" t="s">
        <v>42</v>
      </c>
      <c r="Q67" s="47" t="str">
        <f t="shared" si="5"/>
        <v>30*30</v>
      </c>
      <c r="R67" s="50">
        <v>1.0</v>
      </c>
      <c r="S67" s="51">
        <v>0.0</v>
      </c>
      <c r="T67" s="51">
        <v>0.0</v>
      </c>
      <c r="U67" s="51">
        <v>0.0</v>
      </c>
      <c r="V67" s="39" t="s">
        <v>43</v>
      </c>
      <c r="W67" s="47" t="str">
        <f t="shared" si="6"/>
        <v>BLANC - 30*30 - PAS DE REHAUSSE - (Largeur 40mm Profondeur 15mm)</v>
      </c>
      <c r="X67" s="50">
        <v>0.0</v>
      </c>
      <c r="Y67" s="52" t="s">
        <v>44</v>
      </c>
      <c r="Z67" s="47" t="str">
        <f t="shared" si="7"/>
        <v>MARA 40 BLANC 30*30 VERRE</v>
      </c>
      <c r="AA67" s="39" t="s">
        <v>45</v>
      </c>
      <c r="AB67" s="39" t="s">
        <v>46</v>
      </c>
      <c r="AC67" s="47" t="str">
        <f t="shared" si="8"/>
        <v>MARA 40 BLANC 30*30 VERRE</v>
      </c>
      <c r="AD67" s="39" t="s">
        <v>127</v>
      </c>
      <c r="AE67" s="39" t="str">
        <f t="shared" si="9"/>
        <v>ROMY  30*30 BLANC VERRE PAS DE REHAUSSE - CADRES CLASSIQUES - Pas de passepartout - Dos classique sans chevalet (Largeur 40mm Profondeur 15mm)</v>
      </c>
      <c r="AF67" s="39" t="str">
        <f t="shared" si="1"/>
        <v>ROMY  30*30 BLANC VERRE PAS DE REHAUSSE - CADRES CLASSIQUES - Pas de passepartout - Dos classique sans chevalet (Largeur 40mm Profondeur 15mm)</v>
      </c>
      <c r="AG67" s="53">
        <f t="shared" si="10"/>
        <v>13.97280759</v>
      </c>
      <c r="AH67" s="39"/>
      <c r="AI67" s="39"/>
      <c r="AJ67" s="39"/>
      <c r="AK67" s="39"/>
      <c r="AL67" s="39"/>
      <c r="AM67" s="39"/>
      <c r="AN67" s="39"/>
      <c r="AO67" s="39"/>
      <c r="AP67" s="39"/>
    </row>
    <row r="68" ht="15.75" customHeight="1">
      <c r="A68" s="39">
        <v>1106.0</v>
      </c>
      <c r="B68" s="40" t="s">
        <v>124</v>
      </c>
      <c r="C68" s="41" t="s">
        <v>88</v>
      </c>
      <c r="D68" s="42" t="s">
        <v>150</v>
      </c>
      <c r="E68" s="43">
        <v>345707.0</v>
      </c>
      <c r="F68" s="44" t="s">
        <v>150</v>
      </c>
      <c r="G68" s="45">
        <v>6.0</v>
      </c>
      <c r="H68" s="54">
        <v>8.958257604552259</v>
      </c>
      <c r="I68" s="47" t="s">
        <v>126</v>
      </c>
      <c r="J68" s="39" t="str">
        <f t="shared" si="2"/>
        <v>069555 - MARA 40</v>
      </c>
      <c r="K68" s="47">
        <f t="shared" si="3"/>
        <v>16.66225</v>
      </c>
      <c r="L68" s="48">
        <v>9.13</v>
      </c>
      <c r="M68" s="49">
        <f t="shared" si="4"/>
        <v>16.66225</v>
      </c>
      <c r="N68" s="39" t="s">
        <v>40</v>
      </c>
      <c r="O68" s="39" t="s">
        <v>41</v>
      </c>
      <c r="P68" s="39" t="s">
        <v>42</v>
      </c>
      <c r="Q68" s="47" t="str">
        <f t="shared" si="5"/>
        <v>30*40</v>
      </c>
      <c r="R68" s="50">
        <v>1.0</v>
      </c>
      <c r="S68" s="51">
        <v>0.0</v>
      </c>
      <c r="T68" s="51">
        <v>0.0</v>
      </c>
      <c r="U68" s="51">
        <v>0.0</v>
      </c>
      <c r="V68" s="39" t="s">
        <v>43</v>
      </c>
      <c r="W68" s="47" t="str">
        <f t="shared" si="6"/>
        <v>BLANC - 30*40 - PAS DE REHAUSSE - (Largeur 40mm Profondeur 15mm)</v>
      </c>
      <c r="X68" s="50">
        <v>0.0</v>
      </c>
      <c r="Y68" s="52" t="s">
        <v>44</v>
      </c>
      <c r="Z68" s="47" t="str">
        <f t="shared" si="7"/>
        <v>MARA 40 BLANC 30*40 VERRE</v>
      </c>
      <c r="AA68" s="39" t="s">
        <v>45</v>
      </c>
      <c r="AB68" s="39" t="s">
        <v>46</v>
      </c>
      <c r="AC68" s="47" t="str">
        <f t="shared" si="8"/>
        <v>MARA 40 BLANC 30*40 VERRE</v>
      </c>
      <c r="AD68" s="39" t="s">
        <v>127</v>
      </c>
      <c r="AE68" s="39" t="str">
        <f t="shared" si="9"/>
        <v>ROMY  30*40 BLANC VERRE PAS DE REHAUSSE - CADRES CLASSIQUES - Pas de passepartout - Dos classique sans chevalet (Largeur 40mm Profondeur 15mm)</v>
      </c>
      <c r="AF68" s="39" t="str">
        <f t="shared" si="1"/>
        <v>ROMY  30*40 BLANC VERRE PAS DE REHAUSSE - CADRES CLASSIQUES - Pas de passepartout - Dos classique sans chevalet (Largeur 40mm Profondeur 15mm)</v>
      </c>
      <c r="AG68" s="53">
        <f t="shared" si="10"/>
        <v>16.12486369</v>
      </c>
      <c r="AH68" s="39"/>
      <c r="AI68" s="39"/>
      <c r="AJ68" s="39"/>
      <c r="AK68" s="39"/>
      <c r="AL68" s="39"/>
      <c r="AM68" s="39"/>
      <c r="AN68" s="39"/>
      <c r="AO68" s="39"/>
      <c r="AP68" s="39"/>
    </row>
    <row r="69" ht="15.75" customHeight="1">
      <c r="A69" s="39">
        <v>1107.0</v>
      </c>
      <c r="B69" s="40" t="s">
        <v>124</v>
      </c>
      <c r="C69" s="41" t="s">
        <v>90</v>
      </c>
      <c r="D69" s="42" t="s">
        <v>151</v>
      </c>
      <c r="E69" s="43">
        <v>345707.0</v>
      </c>
      <c r="F69" s="44" t="s">
        <v>151</v>
      </c>
      <c r="G69" s="45">
        <v>3.0</v>
      </c>
      <c r="H69" s="54">
        <v>9.548848634921512</v>
      </c>
      <c r="I69" s="47" t="s">
        <v>126</v>
      </c>
      <c r="J69" s="39" t="str">
        <f t="shared" si="2"/>
        <v>069556 - MARA 40</v>
      </c>
      <c r="K69" s="47">
        <f t="shared" si="3"/>
        <v>17.75725</v>
      </c>
      <c r="L69" s="48">
        <v>9.73</v>
      </c>
      <c r="M69" s="49">
        <f t="shared" si="4"/>
        <v>17.75725</v>
      </c>
      <c r="N69" s="39" t="s">
        <v>40</v>
      </c>
      <c r="O69" s="39" t="s">
        <v>41</v>
      </c>
      <c r="P69" s="39" t="s">
        <v>42</v>
      </c>
      <c r="Q69" s="47" t="str">
        <f t="shared" si="5"/>
        <v>30*45</v>
      </c>
      <c r="R69" s="50">
        <v>1.0</v>
      </c>
      <c r="S69" s="51">
        <v>0.0</v>
      </c>
      <c r="T69" s="51">
        <v>0.0</v>
      </c>
      <c r="U69" s="51">
        <v>0.0</v>
      </c>
      <c r="V69" s="39" t="s">
        <v>43</v>
      </c>
      <c r="W69" s="47" t="str">
        <f t="shared" si="6"/>
        <v>BLANC - 30*45 - PAS DE REHAUSSE - (Largeur 40mm Profondeur 15mm)</v>
      </c>
      <c r="X69" s="50">
        <v>0.0</v>
      </c>
      <c r="Y69" s="52" t="s">
        <v>44</v>
      </c>
      <c r="Z69" s="47" t="str">
        <f t="shared" si="7"/>
        <v>MARA 40 BLANC 30*45 VERRE</v>
      </c>
      <c r="AA69" s="39" t="s">
        <v>45</v>
      </c>
      <c r="AB69" s="39" t="s">
        <v>46</v>
      </c>
      <c r="AC69" s="47" t="str">
        <f t="shared" si="8"/>
        <v>MARA 40 BLANC 30*45 VERRE</v>
      </c>
      <c r="AD69" s="39" t="s">
        <v>127</v>
      </c>
      <c r="AE69" s="39" t="str">
        <f t="shared" si="9"/>
        <v>ROMY  30*45 BLANC VERRE PAS DE REHAUSSE - CADRES CLASSIQUES - Pas de passepartout - Dos classique sans chevalet (Largeur 40mm Profondeur 15mm)</v>
      </c>
      <c r="AF69" s="39" t="str">
        <f t="shared" si="1"/>
        <v>ROMY  30*45 BLANC VERRE PAS DE REHAUSSE - CADRES CLASSIQUES - Pas de passepartout - Dos classique sans chevalet (Largeur 40mm Profondeur 15mm)</v>
      </c>
      <c r="AG69" s="53">
        <f t="shared" si="10"/>
        <v>17.18792754</v>
      </c>
      <c r="AH69" s="39"/>
      <c r="AI69" s="39"/>
      <c r="AJ69" s="39"/>
      <c r="AK69" s="39"/>
      <c r="AL69" s="39"/>
      <c r="AM69" s="39"/>
      <c r="AN69" s="39"/>
      <c r="AO69" s="39"/>
      <c r="AP69" s="39"/>
    </row>
    <row r="70" ht="15.75" customHeight="1">
      <c r="A70" s="39">
        <v>1108.0</v>
      </c>
      <c r="B70" s="40" t="s">
        <v>124</v>
      </c>
      <c r="C70" s="41" t="s">
        <v>92</v>
      </c>
      <c r="D70" s="42" t="s">
        <v>152</v>
      </c>
      <c r="E70" s="43">
        <v>345707.0</v>
      </c>
      <c r="F70" s="44" t="s">
        <v>152</v>
      </c>
      <c r="G70" s="45">
        <v>0.0</v>
      </c>
      <c r="H70" s="54">
        <v>16.068397423827054</v>
      </c>
      <c r="I70" s="47" t="s">
        <v>126</v>
      </c>
      <c r="J70" s="39" t="str">
        <f t="shared" si="2"/>
        <v>069557 - MARA 40</v>
      </c>
      <c r="K70" s="47">
        <f t="shared" si="3"/>
        <v>29.87525</v>
      </c>
      <c r="L70" s="48">
        <v>16.37</v>
      </c>
      <c r="M70" s="49">
        <f t="shared" si="4"/>
        <v>29.87525</v>
      </c>
      <c r="N70" s="39" t="s">
        <v>40</v>
      </c>
      <c r="O70" s="39" t="s">
        <v>41</v>
      </c>
      <c r="P70" s="39" t="s">
        <v>42</v>
      </c>
      <c r="Q70" s="47" t="str">
        <f t="shared" si="5"/>
        <v>33*95</v>
      </c>
      <c r="R70" s="50">
        <v>1.0</v>
      </c>
      <c r="S70" s="51">
        <v>0.0</v>
      </c>
      <c r="T70" s="51">
        <v>0.0</v>
      </c>
      <c r="U70" s="51">
        <v>0.0</v>
      </c>
      <c r="V70" s="39" t="s">
        <v>43</v>
      </c>
      <c r="W70" s="47" t="str">
        <f t="shared" si="6"/>
        <v>BLANC - 33*95 - PAS DE REHAUSSE - (Largeur 40mm Profondeur 15mm)</v>
      </c>
      <c r="X70" s="50">
        <v>0.0</v>
      </c>
      <c r="Y70" s="52" t="s">
        <v>44</v>
      </c>
      <c r="Z70" s="47" t="str">
        <f t="shared" si="7"/>
        <v>MARA 40 BLANC 33*95 VERRE</v>
      </c>
      <c r="AA70" s="39" t="s">
        <v>45</v>
      </c>
      <c r="AB70" s="39" t="s">
        <v>46</v>
      </c>
      <c r="AC70" s="47" t="str">
        <f t="shared" si="8"/>
        <v>MARA 40 BLANC 33*95 VERRE</v>
      </c>
      <c r="AD70" s="39" t="s">
        <v>127</v>
      </c>
      <c r="AE70" s="39" t="str">
        <f t="shared" si="9"/>
        <v>ROMY  33*95 BLANC VERRE PAS DE REHAUSSE - CADRES CLASSIQUES - Pas de passepartout - Dos classique sans chevalet (Largeur 40mm Profondeur 15mm)</v>
      </c>
      <c r="AF70" s="39" t="str">
        <f t="shared" si="1"/>
        <v>ROMY  33*95 BLANC VERRE PAS DE REHAUSSE - CADRES CLASSIQUES - Pas de passepartout - Dos classique sans chevalet (Largeur 40mm Profondeur 15mm)</v>
      </c>
      <c r="AG70" s="53">
        <f t="shared" si="10"/>
        <v>28.92311536</v>
      </c>
      <c r="AH70" s="39"/>
      <c r="AI70" s="39"/>
      <c r="AJ70" s="39"/>
      <c r="AK70" s="39"/>
      <c r="AL70" s="39"/>
      <c r="AM70" s="39"/>
      <c r="AN70" s="39"/>
      <c r="AO70" s="39"/>
      <c r="AP70" s="39"/>
    </row>
    <row r="71" ht="15.75" customHeight="1">
      <c r="A71" s="39">
        <v>1109.0</v>
      </c>
      <c r="B71" s="40" t="s">
        <v>124</v>
      </c>
      <c r="C71" s="41" t="s">
        <v>94</v>
      </c>
      <c r="D71" s="42" t="s">
        <v>153</v>
      </c>
      <c r="E71" s="43">
        <v>345707.0</v>
      </c>
      <c r="F71" s="44" t="s">
        <v>153</v>
      </c>
      <c r="G71" s="45">
        <v>7.0</v>
      </c>
      <c r="H71" s="54">
        <v>10.269081598786467</v>
      </c>
      <c r="I71" s="47" t="s">
        <v>126</v>
      </c>
      <c r="J71" s="39" t="str">
        <f t="shared" si="2"/>
        <v>069558 - MARA 40</v>
      </c>
      <c r="K71" s="47">
        <f t="shared" si="3"/>
        <v>19.0895</v>
      </c>
      <c r="L71" s="48">
        <v>10.46</v>
      </c>
      <c r="M71" s="49">
        <f t="shared" si="4"/>
        <v>19.0895</v>
      </c>
      <c r="N71" s="39" t="s">
        <v>40</v>
      </c>
      <c r="O71" s="39" t="s">
        <v>41</v>
      </c>
      <c r="P71" s="39" t="s">
        <v>42</v>
      </c>
      <c r="Q71" s="47" t="str">
        <f t="shared" si="5"/>
        <v>40*40</v>
      </c>
      <c r="R71" s="50">
        <v>1.0</v>
      </c>
      <c r="S71" s="51">
        <v>0.0</v>
      </c>
      <c r="T71" s="51">
        <v>0.0</v>
      </c>
      <c r="U71" s="51">
        <v>0.0</v>
      </c>
      <c r="V71" s="39" t="s">
        <v>43</v>
      </c>
      <c r="W71" s="47" t="str">
        <f t="shared" si="6"/>
        <v>BLANC - 40*40 - PAS DE REHAUSSE - (Largeur 40mm Profondeur 15mm)</v>
      </c>
      <c r="X71" s="50">
        <v>0.0</v>
      </c>
      <c r="Y71" s="52" t="s">
        <v>44</v>
      </c>
      <c r="Z71" s="47" t="str">
        <f t="shared" si="7"/>
        <v>MARA 40 BLANC 40*40 VERRE</v>
      </c>
      <c r="AA71" s="39" t="s">
        <v>45</v>
      </c>
      <c r="AB71" s="39" t="s">
        <v>46</v>
      </c>
      <c r="AC71" s="47" t="str">
        <f t="shared" si="8"/>
        <v>MARA 40 BLANC 40*40 VERRE</v>
      </c>
      <c r="AD71" s="39" t="s">
        <v>127</v>
      </c>
      <c r="AE71" s="39" t="str">
        <f t="shared" si="9"/>
        <v>ROMY  40*40 BLANC VERRE PAS DE REHAUSSE - CADRES CLASSIQUES - Pas de passepartout - Dos classique sans chevalet (Largeur 40mm Profondeur 15mm)</v>
      </c>
      <c r="AF71" s="39" t="str">
        <f t="shared" si="1"/>
        <v>ROMY  40*40 BLANC VERRE PAS DE REHAUSSE - CADRES CLASSIQUES - Pas de passepartout - Dos classique sans chevalet (Largeur 40mm Profondeur 15mm)</v>
      </c>
      <c r="AG71" s="53">
        <f t="shared" si="10"/>
        <v>18.48434688</v>
      </c>
      <c r="AH71" s="39"/>
      <c r="AI71" s="39"/>
      <c r="AJ71" s="39"/>
      <c r="AK71" s="39"/>
      <c r="AL71" s="39"/>
      <c r="AM71" s="39"/>
      <c r="AN71" s="39"/>
      <c r="AO71" s="39"/>
      <c r="AP71" s="39"/>
    </row>
    <row r="72" ht="15.75" customHeight="1">
      <c r="A72" s="39">
        <v>1110.0</v>
      </c>
      <c r="B72" s="40" t="s">
        <v>124</v>
      </c>
      <c r="C72" s="41" t="s">
        <v>96</v>
      </c>
      <c r="D72" s="42" t="s">
        <v>154</v>
      </c>
      <c r="E72" s="43">
        <v>345707.0</v>
      </c>
      <c r="F72" s="44" t="s">
        <v>154</v>
      </c>
      <c r="G72" s="45">
        <v>4.0</v>
      </c>
      <c r="H72" s="54">
        <v>11.581346058948403</v>
      </c>
      <c r="I72" s="47" t="s">
        <v>126</v>
      </c>
      <c r="J72" s="39" t="str">
        <f t="shared" si="2"/>
        <v>069559 - MARA 40</v>
      </c>
      <c r="K72" s="47">
        <f t="shared" si="3"/>
        <v>21.535</v>
      </c>
      <c r="L72" s="48">
        <v>11.8</v>
      </c>
      <c r="M72" s="49">
        <f t="shared" si="4"/>
        <v>21.535</v>
      </c>
      <c r="N72" s="39" t="s">
        <v>40</v>
      </c>
      <c r="O72" s="39" t="s">
        <v>41</v>
      </c>
      <c r="P72" s="39" t="s">
        <v>42</v>
      </c>
      <c r="Q72" s="47" t="str">
        <f t="shared" si="5"/>
        <v>40*50</v>
      </c>
      <c r="R72" s="50">
        <v>1.0</v>
      </c>
      <c r="S72" s="51">
        <v>0.0</v>
      </c>
      <c r="T72" s="51">
        <v>0.0</v>
      </c>
      <c r="U72" s="51">
        <v>0.0</v>
      </c>
      <c r="V72" s="39" t="s">
        <v>43</v>
      </c>
      <c r="W72" s="47" t="str">
        <f t="shared" si="6"/>
        <v>BLANC - 40*50 - PAS DE REHAUSSE - (Largeur 40mm Profondeur 15mm)</v>
      </c>
      <c r="X72" s="50">
        <v>0.0</v>
      </c>
      <c r="Y72" s="52" t="s">
        <v>44</v>
      </c>
      <c r="Z72" s="47" t="str">
        <f t="shared" si="7"/>
        <v>MARA 40 BLANC 40*50 VERRE</v>
      </c>
      <c r="AA72" s="39" t="s">
        <v>45</v>
      </c>
      <c r="AB72" s="39" t="s">
        <v>46</v>
      </c>
      <c r="AC72" s="47" t="str">
        <f t="shared" si="8"/>
        <v>MARA 40 BLANC 40*50 VERRE</v>
      </c>
      <c r="AD72" s="39" t="s">
        <v>127</v>
      </c>
      <c r="AE72" s="39" t="str">
        <f t="shared" si="9"/>
        <v>ROMY  40*50 BLANC VERRE PAS DE REHAUSSE - CADRES CLASSIQUES - Pas de passepartout - Dos classique sans chevalet (Largeur 40mm Profondeur 15mm)</v>
      </c>
      <c r="AF72" s="39" t="str">
        <f t="shared" si="1"/>
        <v>ROMY  40*50 BLANC VERRE PAS DE REHAUSSE - CADRES CLASSIQUES - Pas de passepartout - Dos classique sans chevalet (Largeur 40mm Profondeur 15mm)</v>
      </c>
      <c r="AG72" s="53">
        <f t="shared" si="10"/>
        <v>20.84642291</v>
      </c>
      <c r="AH72" s="39"/>
      <c r="AI72" s="39"/>
      <c r="AJ72" s="39"/>
      <c r="AK72" s="39"/>
      <c r="AL72" s="39"/>
      <c r="AM72" s="39"/>
      <c r="AN72" s="39"/>
      <c r="AO72" s="39"/>
      <c r="AP72" s="39"/>
    </row>
    <row r="73" ht="15.75" customHeight="1">
      <c r="A73" s="39">
        <v>1111.0</v>
      </c>
      <c r="B73" s="40" t="s">
        <v>124</v>
      </c>
      <c r="C73" s="41" t="s">
        <v>98</v>
      </c>
      <c r="D73" s="42" t="s">
        <v>155</v>
      </c>
      <c r="E73" s="43">
        <v>345707.0</v>
      </c>
      <c r="F73" s="44" t="s">
        <v>155</v>
      </c>
      <c r="G73" s="45">
        <v>0.0</v>
      </c>
      <c r="H73" s="54">
        <v>12.892170053182612</v>
      </c>
      <c r="I73" s="47" t="s">
        <v>126</v>
      </c>
      <c r="J73" s="39" t="str">
        <f t="shared" si="2"/>
        <v>069560 - MARA 40</v>
      </c>
      <c r="K73" s="47">
        <f t="shared" si="3"/>
        <v>23.9805</v>
      </c>
      <c r="L73" s="48">
        <v>13.14</v>
      </c>
      <c r="M73" s="49">
        <f t="shared" si="4"/>
        <v>23.9805</v>
      </c>
      <c r="N73" s="39" t="s">
        <v>40</v>
      </c>
      <c r="O73" s="39" t="s">
        <v>41</v>
      </c>
      <c r="P73" s="39" t="s">
        <v>42</v>
      </c>
      <c r="Q73" s="47" t="str">
        <f t="shared" si="5"/>
        <v>40*60</v>
      </c>
      <c r="R73" s="50">
        <v>1.0</v>
      </c>
      <c r="S73" s="51">
        <v>0.0</v>
      </c>
      <c r="T73" s="51">
        <v>0.0</v>
      </c>
      <c r="U73" s="51">
        <v>0.0</v>
      </c>
      <c r="V73" s="39" t="s">
        <v>43</v>
      </c>
      <c r="W73" s="47" t="str">
        <f t="shared" si="6"/>
        <v>BLANC - 40*60 - PAS DE REHAUSSE - (Largeur 40mm Profondeur 15mm)</v>
      </c>
      <c r="X73" s="50">
        <v>0.0</v>
      </c>
      <c r="Y73" s="52" t="s">
        <v>44</v>
      </c>
      <c r="Z73" s="47" t="str">
        <f t="shared" si="7"/>
        <v>MARA 40 BLANC 40*60 VERRE</v>
      </c>
      <c r="AA73" s="39" t="s">
        <v>45</v>
      </c>
      <c r="AB73" s="39" t="s">
        <v>46</v>
      </c>
      <c r="AC73" s="47" t="str">
        <f t="shared" si="8"/>
        <v>MARA 40 BLANC 40*60 VERRE</v>
      </c>
      <c r="AD73" s="39" t="s">
        <v>127</v>
      </c>
      <c r="AE73" s="39" t="str">
        <f t="shared" si="9"/>
        <v>ROMY  40*60 BLANC VERRE PAS DE REHAUSSE - CADRES CLASSIQUES - Pas de passepartout - Dos classique sans chevalet (Largeur 40mm Profondeur 15mm)</v>
      </c>
      <c r="AF73" s="39" t="str">
        <f t="shared" si="1"/>
        <v>ROMY  40*60 BLANC VERRE PAS DE REHAUSSE - CADRES CLASSIQUES - Pas de passepartout - Dos classique sans chevalet (Largeur 40mm Profondeur 15mm)</v>
      </c>
      <c r="AG73" s="53">
        <f t="shared" si="10"/>
        <v>23.2059061</v>
      </c>
      <c r="AH73" s="39"/>
      <c r="AI73" s="39"/>
      <c r="AJ73" s="39"/>
      <c r="AK73" s="39"/>
      <c r="AL73" s="39"/>
      <c r="AM73" s="39"/>
      <c r="AN73" s="39"/>
      <c r="AO73" s="39"/>
      <c r="AP73" s="39"/>
    </row>
    <row r="74" ht="15.75" customHeight="1">
      <c r="A74" s="39">
        <v>1112.0</v>
      </c>
      <c r="B74" s="40" t="s">
        <v>124</v>
      </c>
      <c r="C74" s="41" t="s">
        <v>100</v>
      </c>
      <c r="D74" s="42" t="s">
        <v>156</v>
      </c>
      <c r="E74" s="43">
        <v>345707.0</v>
      </c>
      <c r="F74" s="44" t="s">
        <v>156</v>
      </c>
      <c r="G74" s="45">
        <v>0.0</v>
      </c>
      <c r="H74" s="54">
        <v>13.4949679869375</v>
      </c>
      <c r="I74" s="47" t="s">
        <v>126</v>
      </c>
      <c r="J74" s="39" t="str">
        <f t="shared" si="2"/>
        <v>068158 - MARA 40</v>
      </c>
      <c r="K74" s="47">
        <f t="shared" si="3"/>
        <v>25.09375</v>
      </c>
      <c r="L74" s="48">
        <v>13.75</v>
      </c>
      <c r="M74" s="49">
        <f t="shared" si="4"/>
        <v>25.09375</v>
      </c>
      <c r="N74" s="39" t="s">
        <v>40</v>
      </c>
      <c r="O74" s="39" t="s">
        <v>41</v>
      </c>
      <c r="P74" s="39" t="s">
        <v>42</v>
      </c>
      <c r="Q74" s="47" t="str">
        <f t="shared" si="5"/>
        <v>42*59,4</v>
      </c>
      <c r="R74" s="50">
        <v>1.0</v>
      </c>
      <c r="S74" s="51">
        <v>0.0</v>
      </c>
      <c r="T74" s="51">
        <v>0.0</v>
      </c>
      <c r="U74" s="51">
        <v>0.0</v>
      </c>
      <c r="V74" s="39" t="s">
        <v>43</v>
      </c>
      <c r="W74" s="47" t="str">
        <f t="shared" si="6"/>
        <v>BLANC - 42*59,4 - PAS DE REHAUSSE - (Largeur 40mm Profondeur 15mm)</v>
      </c>
      <c r="X74" s="50">
        <v>0.0</v>
      </c>
      <c r="Y74" s="52" t="s">
        <v>44</v>
      </c>
      <c r="Z74" s="47" t="str">
        <f t="shared" si="7"/>
        <v>MARA 40 BLANC 42*59,4 VERRE</v>
      </c>
      <c r="AA74" s="39" t="s">
        <v>45</v>
      </c>
      <c r="AB74" s="39" t="s">
        <v>46</v>
      </c>
      <c r="AC74" s="47" t="str">
        <f t="shared" si="8"/>
        <v>MARA 40 BLANC 42*59,4 VERRE</v>
      </c>
      <c r="AD74" s="39" t="s">
        <v>127</v>
      </c>
      <c r="AE74" s="39" t="str">
        <f t="shared" si="9"/>
        <v>ROMY  42*59,4 BLANC VERRE PAS DE REHAUSSE - CADRES CLASSIQUES - Pas de passepartout - Dos classique sans chevalet (Largeur 40mm Profondeur 15mm)</v>
      </c>
      <c r="AF74" s="39" t="str">
        <f t="shared" si="1"/>
        <v>ROMY  42*59,4 BLANC VERRE PAS DE REHAUSSE - CADRES CLASSIQUES - Pas de passepartout - Dos classique sans chevalet (Largeur 40mm Profondeur 15mm)</v>
      </c>
      <c r="AG74" s="53">
        <f t="shared" si="10"/>
        <v>24.29094238</v>
      </c>
      <c r="AH74" s="39"/>
      <c r="AI74" s="39"/>
      <c r="AJ74" s="39"/>
      <c r="AK74" s="39"/>
      <c r="AL74" s="39"/>
      <c r="AM74" s="39"/>
      <c r="AN74" s="39"/>
      <c r="AO74" s="39"/>
      <c r="AP74" s="39"/>
    </row>
    <row r="75" ht="15.75" customHeight="1">
      <c r="A75" s="39">
        <v>1113.0</v>
      </c>
      <c r="B75" s="40" t="s">
        <v>124</v>
      </c>
      <c r="C75" s="41" t="s">
        <v>102</v>
      </c>
      <c r="D75" s="42" t="s">
        <v>157</v>
      </c>
      <c r="E75" s="43">
        <v>345707.0</v>
      </c>
      <c r="F75" s="44" t="s">
        <v>157</v>
      </c>
      <c r="G75" s="45">
        <v>7.0</v>
      </c>
      <c r="H75" s="54">
        <v>13.955233907847283</v>
      </c>
      <c r="I75" s="47" t="s">
        <v>126</v>
      </c>
      <c r="J75" s="39" t="str">
        <f t="shared" si="2"/>
        <v>069561 - MARA 40</v>
      </c>
      <c r="K75" s="47">
        <f t="shared" si="3"/>
        <v>25.9515</v>
      </c>
      <c r="L75" s="48">
        <v>14.22</v>
      </c>
      <c r="M75" s="49">
        <f t="shared" si="4"/>
        <v>25.9515</v>
      </c>
      <c r="N75" s="39" t="s">
        <v>40</v>
      </c>
      <c r="O75" s="39" t="s">
        <v>41</v>
      </c>
      <c r="P75" s="39" t="s">
        <v>42</v>
      </c>
      <c r="Q75" s="47" t="str">
        <f t="shared" si="5"/>
        <v>46*61</v>
      </c>
      <c r="R75" s="50">
        <v>1.0</v>
      </c>
      <c r="S75" s="51">
        <v>0.0</v>
      </c>
      <c r="T75" s="51">
        <v>0.0</v>
      </c>
      <c r="U75" s="51">
        <v>0.0</v>
      </c>
      <c r="V75" s="39" t="s">
        <v>43</v>
      </c>
      <c r="W75" s="47" t="str">
        <f t="shared" si="6"/>
        <v>BLANC - 46*61 - PAS DE REHAUSSE - (Largeur 40mm Profondeur 15mm)</v>
      </c>
      <c r="X75" s="50">
        <v>0.0</v>
      </c>
      <c r="Y75" s="52" t="s">
        <v>44</v>
      </c>
      <c r="Z75" s="47" t="str">
        <f t="shared" si="7"/>
        <v>MARA 40 BLANC 46*61 VERRE</v>
      </c>
      <c r="AA75" s="39" t="s">
        <v>45</v>
      </c>
      <c r="AB75" s="39" t="s">
        <v>46</v>
      </c>
      <c r="AC75" s="47" t="str">
        <f t="shared" si="8"/>
        <v>MARA 40 BLANC 46*61 VERRE</v>
      </c>
      <c r="AD75" s="39" t="s">
        <v>127</v>
      </c>
      <c r="AE75" s="39" t="str">
        <f t="shared" si="9"/>
        <v>ROMY  46*61 BLANC VERRE PAS DE REHAUSSE - CADRES CLASSIQUES - Pas de passepartout - Dos classique sans chevalet (Largeur 40mm Profondeur 15mm)</v>
      </c>
      <c r="AF75" s="39" t="str">
        <f t="shared" si="1"/>
        <v>ROMY  46*61 BLANC VERRE PAS DE REHAUSSE - CADRES CLASSIQUES - Pas de passepartout - Dos classique sans chevalet (Largeur 40mm Profondeur 15mm)</v>
      </c>
      <c r="AG75" s="53">
        <f t="shared" si="10"/>
        <v>25.11942103</v>
      </c>
      <c r="AH75" s="39"/>
      <c r="AI75" s="39"/>
      <c r="AJ75" s="39"/>
      <c r="AK75" s="39"/>
      <c r="AL75" s="39"/>
      <c r="AM75" s="39"/>
      <c r="AN75" s="39"/>
      <c r="AO75" s="39"/>
      <c r="AP75" s="39"/>
    </row>
    <row r="76" ht="15.75" customHeight="1">
      <c r="A76" s="39">
        <v>1114.0</v>
      </c>
      <c r="B76" s="40" t="s">
        <v>124</v>
      </c>
      <c r="C76" s="41" t="s">
        <v>104</v>
      </c>
      <c r="D76" s="42" t="s">
        <v>158</v>
      </c>
      <c r="E76" s="43">
        <v>345707.0</v>
      </c>
      <c r="F76" s="44" t="s">
        <v>158</v>
      </c>
      <c r="G76" s="45">
        <v>4.0</v>
      </c>
      <c r="H76" s="54">
        <v>13.021811986678307</v>
      </c>
      <c r="I76" s="47" t="s">
        <v>126</v>
      </c>
      <c r="J76" s="39" t="str">
        <f t="shared" si="2"/>
        <v>069562 - MARA 40</v>
      </c>
      <c r="K76" s="47">
        <f t="shared" si="3"/>
        <v>24.21775</v>
      </c>
      <c r="L76" s="48">
        <v>13.27</v>
      </c>
      <c r="M76" s="49">
        <f t="shared" si="4"/>
        <v>24.21775</v>
      </c>
      <c r="N76" s="39" t="s">
        <v>40</v>
      </c>
      <c r="O76" s="39" t="s">
        <v>41</v>
      </c>
      <c r="P76" s="39" t="s">
        <v>42</v>
      </c>
      <c r="Q76" s="47" t="str">
        <f t="shared" si="5"/>
        <v>50*50</v>
      </c>
      <c r="R76" s="50">
        <v>1.0</v>
      </c>
      <c r="S76" s="51">
        <v>0.0</v>
      </c>
      <c r="T76" s="51">
        <v>0.0</v>
      </c>
      <c r="U76" s="51">
        <v>0.0</v>
      </c>
      <c r="V76" s="39" t="s">
        <v>43</v>
      </c>
      <c r="W76" s="47" t="str">
        <f t="shared" si="6"/>
        <v>BLANC - 50*50 - PAS DE REHAUSSE - (Largeur 40mm Profondeur 15mm)</v>
      </c>
      <c r="X76" s="50">
        <v>0.0</v>
      </c>
      <c r="Y76" s="52" t="s">
        <v>44</v>
      </c>
      <c r="Z76" s="47" t="str">
        <f t="shared" si="7"/>
        <v>MARA 40 BLANC 50*50 VERRE</v>
      </c>
      <c r="AA76" s="39" t="s">
        <v>45</v>
      </c>
      <c r="AB76" s="39" t="s">
        <v>46</v>
      </c>
      <c r="AC76" s="47" t="str">
        <f t="shared" si="8"/>
        <v>MARA 40 BLANC 50*50 VERRE</v>
      </c>
      <c r="AD76" s="39" t="s">
        <v>127</v>
      </c>
      <c r="AE76" s="39" t="str">
        <f t="shared" si="9"/>
        <v>ROMY  50*50 BLANC VERRE PAS DE REHAUSSE - CADRES CLASSIQUES - Pas de passepartout - Dos classique sans chevalet (Largeur 40mm Profondeur 15mm)</v>
      </c>
      <c r="AF76" s="39" t="str">
        <f t="shared" si="1"/>
        <v>ROMY  50*50 BLANC VERRE PAS DE REHAUSSE - CADRES CLASSIQUES - Pas de passepartout - Dos classique sans chevalet (Largeur 40mm Profondeur 15mm)</v>
      </c>
      <c r="AG76" s="53">
        <f t="shared" si="10"/>
        <v>23.43926158</v>
      </c>
      <c r="AH76" s="39"/>
      <c r="AI76" s="39"/>
      <c r="AJ76" s="39"/>
      <c r="AK76" s="39"/>
      <c r="AL76" s="39"/>
      <c r="AM76" s="39"/>
      <c r="AN76" s="39"/>
      <c r="AO76" s="39"/>
      <c r="AP76" s="39"/>
    </row>
    <row r="77" ht="15.75" customHeight="1">
      <c r="A77" s="39">
        <v>1115.0</v>
      </c>
      <c r="B77" s="40" t="s">
        <v>124</v>
      </c>
      <c r="C77" s="41" t="s">
        <v>106</v>
      </c>
      <c r="D77" s="42" t="s">
        <v>159</v>
      </c>
      <c r="E77" s="43">
        <v>345707.0</v>
      </c>
      <c r="F77" s="44" t="s">
        <v>159</v>
      </c>
      <c r="G77" s="45">
        <v>1.0</v>
      </c>
      <c r="H77" s="54">
        <v>14.446432789203179</v>
      </c>
      <c r="I77" s="47" t="s">
        <v>126</v>
      </c>
      <c r="J77" s="39" t="str">
        <f t="shared" si="2"/>
        <v>069563 - MARA 40</v>
      </c>
      <c r="K77" s="47">
        <f t="shared" si="3"/>
        <v>26.864</v>
      </c>
      <c r="L77" s="48">
        <v>14.72</v>
      </c>
      <c r="M77" s="49">
        <f t="shared" si="4"/>
        <v>26.864</v>
      </c>
      <c r="N77" s="39" t="s">
        <v>40</v>
      </c>
      <c r="O77" s="39" t="s">
        <v>41</v>
      </c>
      <c r="P77" s="39" t="s">
        <v>42</v>
      </c>
      <c r="Q77" s="47" t="str">
        <f t="shared" si="5"/>
        <v>50*60</v>
      </c>
      <c r="R77" s="50">
        <v>1.0</v>
      </c>
      <c r="S77" s="51">
        <v>0.0</v>
      </c>
      <c r="T77" s="51">
        <v>0.0</v>
      </c>
      <c r="U77" s="51">
        <v>0.0</v>
      </c>
      <c r="V77" s="39" t="s">
        <v>43</v>
      </c>
      <c r="W77" s="47" t="str">
        <f t="shared" si="6"/>
        <v>BLANC - 50*60 - PAS DE REHAUSSE - (Largeur 40mm Profondeur 15mm)</v>
      </c>
      <c r="X77" s="50">
        <v>0.0</v>
      </c>
      <c r="Y77" s="52" t="s">
        <v>44</v>
      </c>
      <c r="Z77" s="47" t="str">
        <f t="shared" si="7"/>
        <v>MARA 40 BLANC 50*60 VERRE</v>
      </c>
      <c r="AA77" s="39" t="s">
        <v>45</v>
      </c>
      <c r="AB77" s="39" t="s">
        <v>46</v>
      </c>
      <c r="AC77" s="47" t="str">
        <f t="shared" si="8"/>
        <v>MARA 40 BLANC 50*60 VERRE</v>
      </c>
      <c r="AD77" s="39" t="s">
        <v>127</v>
      </c>
      <c r="AE77" s="39" t="str">
        <f t="shared" si="9"/>
        <v>ROMY  50*60 BLANC VERRE PAS DE REHAUSSE - CADRES CLASSIQUES - Pas de passepartout - Dos classique sans chevalet (Largeur 40mm Profondeur 15mm)</v>
      </c>
      <c r="AF77" s="39" t="str">
        <f t="shared" si="1"/>
        <v>ROMY  50*60 BLANC VERRE PAS DE REHAUSSE - CADRES CLASSIQUES - Pas de passepartout - Dos classique sans chevalet (Largeur 40mm Profondeur 15mm)</v>
      </c>
      <c r="AG77" s="53">
        <f t="shared" si="10"/>
        <v>26.00357902</v>
      </c>
      <c r="AH77" s="39"/>
      <c r="AI77" s="39"/>
      <c r="AJ77" s="39"/>
      <c r="AK77" s="39"/>
      <c r="AL77" s="39"/>
      <c r="AM77" s="39"/>
      <c r="AN77" s="39"/>
      <c r="AO77" s="39"/>
      <c r="AP77" s="39"/>
    </row>
    <row r="78" ht="15.75" customHeight="1">
      <c r="A78" s="39">
        <v>1116.0</v>
      </c>
      <c r="B78" s="40" t="s">
        <v>124</v>
      </c>
      <c r="C78" s="41" t="s">
        <v>108</v>
      </c>
      <c r="D78" s="42" t="s">
        <v>160</v>
      </c>
      <c r="E78" s="43">
        <v>345707.0</v>
      </c>
      <c r="F78" s="44" t="s">
        <v>160</v>
      </c>
      <c r="G78" s="45">
        <v>8.0</v>
      </c>
      <c r="H78" s="54">
        <v>15.16666575306813</v>
      </c>
      <c r="I78" s="47" t="s">
        <v>126</v>
      </c>
      <c r="J78" s="39" t="str">
        <f t="shared" si="2"/>
        <v>069564 - MARA 40</v>
      </c>
      <c r="K78" s="47">
        <f t="shared" si="3"/>
        <v>28.19625</v>
      </c>
      <c r="L78" s="48">
        <v>15.45</v>
      </c>
      <c r="M78" s="49">
        <f t="shared" si="4"/>
        <v>28.19625</v>
      </c>
      <c r="N78" s="39" t="s">
        <v>40</v>
      </c>
      <c r="O78" s="39" t="s">
        <v>41</v>
      </c>
      <c r="P78" s="39" t="s">
        <v>42</v>
      </c>
      <c r="Q78" s="47" t="str">
        <f t="shared" si="5"/>
        <v>50*65</v>
      </c>
      <c r="R78" s="50">
        <v>1.0</v>
      </c>
      <c r="S78" s="51">
        <v>0.0</v>
      </c>
      <c r="T78" s="51">
        <v>0.0</v>
      </c>
      <c r="U78" s="51">
        <v>0.0</v>
      </c>
      <c r="V78" s="39" t="s">
        <v>43</v>
      </c>
      <c r="W78" s="47" t="str">
        <f t="shared" si="6"/>
        <v>BLANC - 50*65 - PAS DE REHAUSSE - (Largeur 40mm Profondeur 15mm)</v>
      </c>
      <c r="X78" s="50">
        <v>0.0</v>
      </c>
      <c r="Y78" s="52" t="s">
        <v>44</v>
      </c>
      <c r="Z78" s="47" t="str">
        <f t="shared" si="7"/>
        <v>MARA 40 BLANC 50*65 VERRE</v>
      </c>
      <c r="AA78" s="39" t="s">
        <v>45</v>
      </c>
      <c r="AB78" s="39" t="s">
        <v>46</v>
      </c>
      <c r="AC78" s="47" t="str">
        <f t="shared" si="8"/>
        <v>MARA 40 BLANC 50*65 VERRE</v>
      </c>
      <c r="AD78" s="39" t="s">
        <v>127</v>
      </c>
      <c r="AE78" s="39" t="str">
        <f t="shared" si="9"/>
        <v>ROMY  50*65 BLANC VERRE PAS DE REHAUSSE - CADRES CLASSIQUES - Pas de passepartout - Dos classique sans chevalet (Largeur 40mm Profondeur 15mm)</v>
      </c>
      <c r="AF78" s="39" t="str">
        <f t="shared" si="1"/>
        <v>ROMY  50*65 BLANC VERRE PAS DE REHAUSSE - CADRES CLASSIQUES - Pas de passepartout - Dos classique sans chevalet (Largeur 40mm Profondeur 15mm)</v>
      </c>
      <c r="AG78" s="53">
        <f t="shared" si="10"/>
        <v>27.29999836</v>
      </c>
      <c r="AH78" s="39"/>
      <c r="AI78" s="39"/>
      <c r="AJ78" s="39"/>
      <c r="AK78" s="39"/>
      <c r="AL78" s="39"/>
      <c r="AM78" s="39"/>
      <c r="AN78" s="39"/>
      <c r="AO78" s="39"/>
      <c r="AP78" s="39"/>
    </row>
    <row r="79" ht="15.75" customHeight="1">
      <c r="A79" s="39">
        <v>1117.0</v>
      </c>
      <c r="B79" s="40" t="s">
        <v>124</v>
      </c>
      <c r="C79" s="41" t="s">
        <v>110</v>
      </c>
      <c r="D79" s="42" t="s">
        <v>161</v>
      </c>
      <c r="E79" s="43">
        <v>345707.0</v>
      </c>
      <c r="F79" s="44" t="s">
        <v>161</v>
      </c>
      <c r="G79" s="45">
        <v>5.0</v>
      </c>
      <c r="H79" s="54">
        <v>15.88833918286081</v>
      </c>
      <c r="I79" s="47" t="s">
        <v>126</v>
      </c>
      <c r="J79" s="39" t="str">
        <f t="shared" si="2"/>
        <v>069565 - MARA 40</v>
      </c>
      <c r="K79" s="47">
        <f t="shared" si="3"/>
        <v>29.54675</v>
      </c>
      <c r="L79" s="48">
        <v>16.19</v>
      </c>
      <c r="M79" s="49">
        <f t="shared" si="4"/>
        <v>29.54675</v>
      </c>
      <c r="N79" s="39" t="s">
        <v>40</v>
      </c>
      <c r="O79" s="39" t="s">
        <v>41</v>
      </c>
      <c r="P79" s="39" t="s">
        <v>42</v>
      </c>
      <c r="Q79" s="47" t="str">
        <f t="shared" si="5"/>
        <v>50*70</v>
      </c>
      <c r="R79" s="50">
        <v>1.0</v>
      </c>
      <c r="S79" s="51">
        <v>0.0</v>
      </c>
      <c r="T79" s="51">
        <v>0.0</v>
      </c>
      <c r="U79" s="51">
        <v>0.0</v>
      </c>
      <c r="V79" s="39" t="s">
        <v>43</v>
      </c>
      <c r="W79" s="47" t="str">
        <f t="shared" si="6"/>
        <v>BLANC - 50*70 - PAS DE REHAUSSE - (Largeur 40mm Profondeur 15mm)</v>
      </c>
      <c r="X79" s="50">
        <v>0.0</v>
      </c>
      <c r="Y79" s="52" t="s">
        <v>44</v>
      </c>
      <c r="Z79" s="47" t="str">
        <f t="shared" si="7"/>
        <v>MARA 40 BLANC 50*70 VERRE</v>
      </c>
      <c r="AA79" s="39" t="s">
        <v>45</v>
      </c>
      <c r="AB79" s="39" t="s">
        <v>46</v>
      </c>
      <c r="AC79" s="47" t="str">
        <f t="shared" si="8"/>
        <v>MARA 40 BLANC 50*70 VERRE</v>
      </c>
      <c r="AD79" s="39" t="s">
        <v>127</v>
      </c>
      <c r="AE79" s="39" t="str">
        <f t="shared" si="9"/>
        <v>ROMY  50*70 BLANC VERRE PAS DE REHAUSSE - CADRES CLASSIQUES - Pas de passepartout - Dos classique sans chevalet (Largeur 40mm Profondeur 15mm)</v>
      </c>
      <c r="AF79" s="39" t="str">
        <f t="shared" si="1"/>
        <v>ROMY  50*70 BLANC VERRE PAS DE REHAUSSE - CADRES CLASSIQUES - Pas de passepartout - Dos classique sans chevalet (Largeur 40mm Profondeur 15mm)</v>
      </c>
      <c r="AG79" s="53">
        <f t="shared" si="10"/>
        <v>28.59901053</v>
      </c>
      <c r="AH79" s="39"/>
      <c r="AI79" s="39"/>
      <c r="AJ79" s="39"/>
      <c r="AK79" s="39"/>
      <c r="AL79" s="39"/>
      <c r="AM79" s="39"/>
      <c r="AN79" s="39"/>
      <c r="AO79" s="39"/>
      <c r="AP79" s="39"/>
    </row>
    <row r="80" ht="15.75" customHeight="1">
      <c r="A80" s="39">
        <v>1118.0</v>
      </c>
      <c r="B80" s="40" t="s">
        <v>124</v>
      </c>
      <c r="C80" s="41" t="s">
        <v>112</v>
      </c>
      <c r="D80" s="42" t="s">
        <v>162</v>
      </c>
      <c r="E80" s="43">
        <v>345707.0</v>
      </c>
      <c r="F80" s="44" t="s">
        <v>162</v>
      </c>
      <c r="G80" s="45">
        <v>2.0</v>
      </c>
      <c r="H80" s="54">
        <v>16.206105966518027</v>
      </c>
      <c r="I80" s="47" t="s">
        <v>126</v>
      </c>
      <c r="J80" s="39" t="str">
        <f t="shared" si="2"/>
        <v>054319 - MARA 40</v>
      </c>
      <c r="K80" s="47">
        <f t="shared" si="3"/>
        <v>30.13075</v>
      </c>
      <c r="L80" s="48">
        <v>16.51</v>
      </c>
      <c r="M80" s="49">
        <f t="shared" si="4"/>
        <v>30.13075</v>
      </c>
      <c r="N80" s="39" t="s">
        <v>40</v>
      </c>
      <c r="O80" s="39" t="s">
        <v>41</v>
      </c>
      <c r="P80" s="39" t="s">
        <v>42</v>
      </c>
      <c r="Q80" s="47" t="str">
        <f t="shared" si="5"/>
        <v>60*60</v>
      </c>
      <c r="R80" s="50">
        <v>1.0</v>
      </c>
      <c r="S80" s="51">
        <v>0.0</v>
      </c>
      <c r="T80" s="51">
        <v>0.0</v>
      </c>
      <c r="U80" s="51">
        <v>0.0</v>
      </c>
      <c r="V80" s="39" t="s">
        <v>43</v>
      </c>
      <c r="W80" s="47" t="str">
        <f t="shared" si="6"/>
        <v>BLANC - 60*60 - PAS DE REHAUSSE - (Largeur 40mm Profondeur 15mm)</v>
      </c>
      <c r="X80" s="50">
        <v>0.0</v>
      </c>
      <c r="Y80" s="52" t="s">
        <v>44</v>
      </c>
      <c r="Z80" s="47" t="str">
        <f t="shared" si="7"/>
        <v>MARA 40 BLANC 60*60 VERRE</v>
      </c>
      <c r="AA80" s="39" t="s">
        <v>45</v>
      </c>
      <c r="AB80" s="39" t="s">
        <v>46</v>
      </c>
      <c r="AC80" s="47" t="str">
        <f t="shared" si="8"/>
        <v>MARA 40 BLANC 60*60 VERRE</v>
      </c>
      <c r="AD80" s="39" t="s">
        <v>127</v>
      </c>
      <c r="AE80" s="39" t="str">
        <f t="shared" si="9"/>
        <v>ROMY  60*60 BLANC VERRE PAS DE REHAUSSE - CADRES CLASSIQUES - Pas de passepartout - Dos classique sans chevalet (Largeur 40mm Profondeur 15mm)</v>
      </c>
      <c r="AF80" s="39" t="str">
        <f t="shared" si="1"/>
        <v>ROMY  60*60 BLANC VERRE PAS DE REHAUSSE - CADRES CLASSIQUES - Pas de passepartout - Dos classique sans chevalet (Largeur 40mm Profondeur 15mm)</v>
      </c>
      <c r="AG80" s="53">
        <f t="shared" si="10"/>
        <v>29.17099074</v>
      </c>
      <c r="AH80" s="39"/>
      <c r="AI80" s="39"/>
      <c r="AJ80" s="39"/>
      <c r="AK80" s="39"/>
      <c r="AL80" s="39"/>
      <c r="AM80" s="39"/>
      <c r="AN80" s="39"/>
      <c r="AO80" s="39"/>
      <c r="AP80" s="39"/>
    </row>
    <row r="81" ht="15.75" customHeight="1">
      <c r="A81" s="39">
        <v>1119.0</v>
      </c>
      <c r="B81" s="40" t="s">
        <v>124</v>
      </c>
      <c r="C81" s="41" t="s">
        <v>114</v>
      </c>
      <c r="D81" s="42" t="s">
        <v>163</v>
      </c>
      <c r="E81" s="43">
        <v>345707.0</v>
      </c>
      <c r="F81" s="44" t="s">
        <v>163</v>
      </c>
      <c r="G81" s="45">
        <v>2.0</v>
      </c>
      <c r="H81" s="54">
        <v>19.099137735770764</v>
      </c>
      <c r="I81" s="47" t="s">
        <v>126</v>
      </c>
      <c r="J81" s="39" t="str">
        <f t="shared" si="2"/>
        <v>069566 - MARA 40</v>
      </c>
      <c r="K81" s="47">
        <f t="shared" si="3"/>
        <v>35.5145</v>
      </c>
      <c r="L81" s="48">
        <v>19.46</v>
      </c>
      <c r="M81" s="49">
        <f t="shared" si="4"/>
        <v>35.5145</v>
      </c>
      <c r="N81" s="39" t="s">
        <v>40</v>
      </c>
      <c r="O81" s="39" t="s">
        <v>41</v>
      </c>
      <c r="P81" s="39" t="s">
        <v>42</v>
      </c>
      <c r="Q81" s="47" t="str">
        <f t="shared" si="5"/>
        <v>60*80</v>
      </c>
      <c r="R81" s="50">
        <v>1.0</v>
      </c>
      <c r="S81" s="51">
        <v>0.0</v>
      </c>
      <c r="T81" s="51">
        <v>0.0</v>
      </c>
      <c r="U81" s="51">
        <v>0.0</v>
      </c>
      <c r="V81" s="39" t="s">
        <v>43</v>
      </c>
      <c r="W81" s="47" t="str">
        <f t="shared" si="6"/>
        <v>BLANC - 60*80 - PAS DE REHAUSSE - (Largeur 40mm Profondeur 15mm)</v>
      </c>
      <c r="X81" s="50">
        <v>0.0</v>
      </c>
      <c r="Y81" s="52" t="s">
        <v>44</v>
      </c>
      <c r="Z81" s="47" t="str">
        <f t="shared" si="7"/>
        <v>MARA 40 BLANC 60*80 VERRE</v>
      </c>
      <c r="AA81" s="39" t="s">
        <v>45</v>
      </c>
      <c r="AB81" s="39" t="s">
        <v>46</v>
      </c>
      <c r="AC81" s="47" t="str">
        <f t="shared" si="8"/>
        <v>MARA 40 BLANC 60*80 VERRE</v>
      </c>
      <c r="AD81" s="39" t="s">
        <v>127</v>
      </c>
      <c r="AE81" s="39" t="str">
        <f t="shared" si="9"/>
        <v>ROMY  60*80 BLANC VERRE PAS DE REHAUSSE - CADRES CLASSIQUES - Pas de passepartout - Dos classique sans chevalet (Largeur 40mm Profondeur 15mm)</v>
      </c>
      <c r="AF81" s="39" t="str">
        <f t="shared" si="1"/>
        <v>ROMY  60*80 BLANC VERRE PAS DE REHAUSSE - CADRES CLASSIQUES - Pas de passepartout - Dos classique sans chevalet (Largeur 40mm Profondeur 15mm)</v>
      </c>
      <c r="AG81" s="53">
        <f t="shared" si="10"/>
        <v>34.37844792</v>
      </c>
      <c r="AH81" s="39"/>
      <c r="AI81" s="39"/>
      <c r="AJ81" s="39"/>
      <c r="AK81" s="39"/>
      <c r="AL81" s="39"/>
      <c r="AM81" s="39"/>
      <c r="AN81" s="39"/>
      <c r="AO81" s="39"/>
      <c r="AP81" s="39"/>
    </row>
    <row r="82" ht="15.75" customHeight="1">
      <c r="A82" s="39">
        <v>1120.0</v>
      </c>
      <c r="B82" s="40" t="s">
        <v>124</v>
      </c>
      <c r="C82" s="41" t="s">
        <v>116</v>
      </c>
      <c r="D82" s="42" t="s">
        <v>164</v>
      </c>
      <c r="E82" s="43">
        <v>345707.0</v>
      </c>
      <c r="F82" s="44" t="s">
        <v>164</v>
      </c>
      <c r="G82" s="45">
        <v>9.0</v>
      </c>
      <c r="H82" s="54">
        <v>24.794740014014792</v>
      </c>
      <c r="I82" s="47" t="s">
        <v>126</v>
      </c>
      <c r="J82" s="39" t="str">
        <f t="shared" si="2"/>
        <v>069567 - MARA 40</v>
      </c>
      <c r="K82" s="47">
        <f t="shared" si="3"/>
        <v>46.11775</v>
      </c>
      <c r="L82" s="48">
        <v>25.27</v>
      </c>
      <c r="M82" s="49">
        <f t="shared" si="4"/>
        <v>46.11775</v>
      </c>
      <c r="N82" s="39" t="s">
        <v>40</v>
      </c>
      <c r="O82" s="39" t="s">
        <v>41</v>
      </c>
      <c r="P82" s="39" t="s">
        <v>42</v>
      </c>
      <c r="Q82" s="47" t="str">
        <f t="shared" si="5"/>
        <v>61*91,5</v>
      </c>
      <c r="R82" s="50">
        <v>1.0</v>
      </c>
      <c r="S82" s="51">
        <v>0.0</v>
      </c>
      <c r="T82" s="51">
        <v>0.0</v>
      </c>
      <c r="U82" s="51">
        <v>0.0</v>
      </c>
      <c r="V82" s="39" t="s">
        <v>43</v>
      </c>
      <c r="W82" s="47" t="str">
        <f t="shared" si="6"/>
        <v>BLANC - 61*91,5 - PAS DE REHAUSSE - (Largeur 40mm Profondeur 15mm)</v>
      </c>
      <c r="X82" s="50">
        <v>0.0</v>
      </c>
      <c r="Y82" s="52" t="s">
        <v>44</v>
      </c>
      <c r="Z82" s="47" t="str">
        <f t="shared" si="7"/>
        <v>MARA 40 BLANC 61*91,5 VERRE</v>
      </c>
      <c r="AA82" s="39" t="s">
        <v>45</v>
      </c>
      <c r="AB82" s="39" t="s">
        <v>46</v>
      </c>
      <c r="AC82" s="47" t="str">
        <f t="shared" si="8"/>
        <v>MARA 40 BLANC 61*91,5 VERRE</v>
      </c>
      <c r="AD82" s="39" t="s">
        <v>127</v>
      </c>
      <c r="AE82" s="39" t="str">
        <f t="shared" si="9"/>
        <v>ROMY  61*91,5 BLANC VERRE PAS DE REHAUSSE - CADRES CLASSIQUES - Pas de passepartout - Dos classique sans chevalet (Largeur 40mm Profondeur 15mm)</v>
      </c>
      <c r="AF82" s="39" t="str">
        <f t="shared" si="1"/>
        <v>ROMY  61*91,5 BLANC VERRE PAS DE REHAUSSE - CADRES CLASSIQUES - Pas de passepartout - Dos classique sans chevalet (Largeur 40mm Profondeur 15mm)</v>
      </c>
      <c r="AG82" s="53">
        <f t="shared" si="10"/>
        <v>44.63053203</v>
      </c>
      <c r="AH82" s="39"/>
      <c r="AI82" s="39"/>
      <c r="AJ82" s="39"/>
      <c r="AK82" s="39"/>
      <c r="AL82" s="39"/>
      <c r="AM82" s="39"/>
      <c r="AN82" s="39"/>
      <c r="AO82" s="39"/>
      <c r="AP82" s="39"/>
    </row>
    <row r="83" ht="15.75" customHeight="1">
      <c r="A83" s="39">
        <v>1121.0</v>
      </c>
      <c r="B83" s="40" t="s">
        <v>124</v>
      </c>
      <c r="C83" s="41" t="s">
        <v>118</v>
      </c>
      <c r="D83" s="42" t="s">
        <v>165</v>
      </c>
      <c r="E83" s="43">
        <v>345707.0</v>
      </c>
      <c r="F83" s="44" t="s">
        <v>165</v>
      </c>
      <c r="G83" s="45">
        <v>6.0</v>
      </c>
      <c r="H83" s="54">
        <v>19.279195976737004</v>
      </c>
      <c r="I83" s="47" t="s">
        <v>126</v>
      </c>
      <c r="J83" s="39" t="str">
        <f t="shared" si="2"/>
        <v>069568 - MARA 40</v>
      </c>
      <c r="K83" s="47">
        <f t="shared" si="3"/>
        <v>35.86125</v>
      </c>
      <c r="L83" s="48">
        <v>19.65</v>
      </c>
      <c r="M83" s="49">
        <f t="shared" si="4"/>
        <v>35.86125</v>
      </c>
      <c r="N83" s="39" t="s">
        <v>40</v>
      </c>
      <c r="O83" s="39" t="s">
        <v>41</v>
      </c>
      <c r="P83" s="39" t="s">
        <v>42</v>
      </c>
      <c r="Q83" s="47" t="str">
        <f t="shared" si="5"/>
        <v>70*70</v>
      </c>
      <c r="R83" s="50">
        <v>1.0</v>
      </c>
      <c r="S83" s="51">
        <v>0.0</v>
      </c>
      <c r="T83" s="51">
        <v>0.0</v>
      </c>
      <c r="U83" s="51">
        <v>0.0</v>
      </c>
      <c r="V83" s="39" t="s">
        <v>43</v>
      </c>
      <c r="W83" s="47" t="str">
        <f t="shared" si="6"/>
        <v>BLANC - 70*70 - PAS DE REHAUSSE - (Largeur 40mm Profondeur 15mm)</v>
      </c>
      <c r="X83" s="50">
        <v>0.0</v>
      </c>
      <c r="Y83" s="52" t="s">
        <v>44</v>
      </c>
      <c r="Z83" s="47" t="str">
        <f t="shared" si="7"/>
        <v>MARA 40 BLANC 70*70 VERRE</v>
      </c>
      <c r="AA83" s="39" t="s">
        <v>45</v>
      </c>
      <c r="AB83" s="39" t="s">
        <v>46</v>
      </c>
      <c r="AC83" s="47" t="str">
        <f t="shared" si="8"/>
        <v>MARA 40 BLANC 70*70 VERRE</v>
      </c>
      <c r="AD83" s="39" t="s">
        <v>127</v>
      </c>
      <c r="AE83" s="39" t="str">
        <f t="shared" si="9"/>
        <v>ROMY  70*70 BLANC VERRE PAS DE REHAUSSE - CADRES CLASSIQUES - Pas de passepartout - Dos classique sans chevalet (Largeur 40mm Profondeur 15mm)</v>
      </c>
      <c r="AF83" s="39" t="str">
        <f t="shared" si="1"/>
        <v>ROMY  70*70 BLANC VERRE PAS DE REHAUSSE - CADRES CLASSIQUES - Pas de passepartout - Dos classique sans chevalet (Largeur 40mm Profondeur 15mm)</v>
      </c>
      <c r="AG83" s="53">
        <f t="shared" si="10"/>
        <v>34.70255276</v>
      </c>
      <c r="AH83" s="39"/>
      <c r="AI83" s="39"/>
      <c r="AJ83" s="39"/>
      <c r="AK83" s="39"/>
      <c r="AL83" s="39"/>
      <c r="AM83" s="39"/>
      <c r="AN83" s="39"/>
      <c r="AO83" s="39"/>
      <c r="AP83" s="39"/>
    </row>
    <row r="84" ht="15.75" customHeight="1">
      <c r="A84" s="39">
        <v>1122.0</v>
      </c>
      <c r="B84" s="40" t="s">
        <v>124</v>
      </c>
      <c r="C84" s="41" t="s">
        <v>120</v>
      </c>
      <c r="D84" s="42" t="s">
        <v>166</v>
      </c>
      <c r="E84" s="43">
        <v>345707.0</v>
      </c>
      <c r="F84" s="44" t="s">
        <v>166</v>
      </c>
      <c r="G84" s="45">
        <v>3.0</v>
      </c>
      <c r="H84" s="54">
        <v>20.21261789790597</v>
      </c>
      <c r="I84" s="47" t="s">
        <v>126</v>
      </c>
      <c r="J84" s="39" t="str">
        <f t="shared" si="2"/>
        <v>069569 - MARA 40</v>
      </c>
      <c r="K84" s="47">
        <f t="shared" si="3"/>
        <v>37.595</v>
      </c>
      <c r="L84" s="48">
        <v>20.6</v>
      </c>
      <c r="M84" s="49">
        <f t="shared" si="4"/>
        <v>37.595</v>
      </c>
      <c r="N84" s="39" t="s">
        <v>40</v>
      </c>
      <c r="O84" s="39" t="s">
        <v>41</v>
      </c>
      <c r="P84" s="39" t="s">
        <v>42</v>
      </c>
      <c r="Q84" s="47" t="str">
        <f t="shared" si="5"/>
        <v>50*100</v>
      </c>
      <c r="R84" s="50">
        <v>1.0</v>
      </c>
      <c r="S84" s="51">
        <v>0.0</v>
      </c>
      <c r="T84" s="51">
        <v>0.0</v>
      </c>
      <c r="U84" s="51">
        <v>0.0</v>
      </c>
      <c r="V84" s="39" t="s">
        <v>43</v>
      </c>
      <c r="W84" s="47" t="str">
        <f t="shared" si="6"/>
        <v>BLANC - 50*100 - PAS DE REHAUSSE - (Largeur 40mm Profondeur 15mm)</v>
      </c>
      <c r="X84" s="50">
        <v>0.0</v>
      </c>
      <c r="Y84" s="52" t="s">
        <v>44</v>
      </c>
      <c r="Z84" s="47" t="str">
        <f t="shared" si="7"/>
        <v>MARA 40 BLANC 50*100 VERRE</v>
      </c>
      <c r="AA84" s="39" t="s">
        <v>45</v>
      </c>
      <c r="AB84" s="39" t="s">
        <v>46</v>
      </c>
      <c r="AC84" s="47" t="str">
        <f t="shared" si="8"/>
        <v>MARA 40 BLANC 50*100 VERRE</v>
      </c>
      <c r="AD84" s="39" t="s">
        <v>127</v>
      </c>
      <c r="AE84" s="39" t="str">
        <f t="shared" si="9"/>
        <v>ROMY  50*100 BLANC VERRE PAS DE REHAUSSE - CADRES CLASSIQUES - Pas de passepartout - Dos classique sans chevalet (Largeur 40mm Profondeur 15mm)</v>
      </c>
      <c r="AF84" s="39" t="str">
        <f t="shared" si="1"/>
        <v>ROMY  50*100 BLANC VERRE PAS DE REHAUSSE - CADRES CLASSIQUES - Pas de passepartout - Dos classique sans chevalet (Largeur 40mm Profondeur 15mm)</v>
      </c>
      <c r="AG84" s="53">
        <f t="shared" si="10"/>
        <v>36.38271222</v>
      </c>
      <c r="AH84" s="39"/>
      <c r="AI84" s="39"/>
      <c r="AJ84" s="39"/>
      <c r="AK84" s="39"/>
      <c r="AL84" s="39"/>
      <c r="AM84" s="39"/>
      <c r="AN84" s="39"/>
      <c r="AO84" s="39"/>
      <c r="AP84" s="39"/>
    </row>
    <row r="85" ht="15.75" customHeight="1">
      <c r="A85" s="39">
        <v>1123.0</v>
      </c>
      <c r="B85" s="40" t="s">
        <v>124</v>
      </c>
      <c r="C85" s="41" t="s">
        <v>122</v>
      </c>
      <c r="D85" s="42" t="s">
        <v>167</v>
      </c>
      <c r="E85" s="43">
        <v>345707.0</v>
      </c>
      <c r="F85" s="44" t="s">
        <v>167</v>
      </c>
      <c r="G85" s="45">
        <v>9.0</v>
      </c>
      <c r="H85" s="54">
        <v>24.3712430312622</v>
      </c>
      <c r="I85" s="47" t="s">
        <v>126</v>
      </c>
      <c r="J85" s="39" t="str">
        <f t="shared" si="2"/>
        <v>069570 - MARA 40</v>
      </c>
      <c r="K85" s="47">
        <f t="shared" si="3"/>
        <v>45.31475</v>
      </c>
      <c r="L85" s="48">
        <v>24.83</v>
      </c>
      <c r="M85" s="49">
        <f t="shared" si="4"/>
        <v>45.31475</v>
      </c>
      <c r="N85" s="39" t="s">
        <v>40</v>
      </c>
      <c r="O85" s="39" t="s">
        <v>41</v>
      </c>
      <c r="P85" s="39" t="s">
        <v>42</v>
      </c>
      <c r="Q85" s="47" t="str">
        <f t="shared" si="5"/>
        <v>70*100</v>
      </c>
      <c r="R85" s="50">
        <v>1.0</v>
      </c>
      <c r="S85" s="51">
        <v>0.0</v>
      </c>
      <c r="T85" s="51">
        <v>0.0</v>
      </c>
      <c r="U85" s="51">
        <v>0.0</v>
      </c>
      <c r="V85" s="39" t="s">
        <v>43</v>
      </c>
      <c r="W85" s="47" t="str">
        <f t="shared" si="6"/>
        <v>BLANC - 70*100 - PAS DE REHAUSSE - (Largeur 40mm Profondeur 15mm)</v>
      </c>
      <c r="X85" s="50">
        <v>0.0</v>
      </c>
      <c r="Y85" s="52" t="s">
        <v>44</v>
      </c>
      <c r="Z85" s="47" t="str">
        <f t="shared" si="7"/>
        <v>MARA 40 BLANC 70*100 VERRE</v>
      </c>
      <c r="AA85" s="39" t="s">
        <v>45</v>
      </c>
      <c r="AB85" s="39" t="s">
        <v>46</v>
      </c>
      <c r="AC85" s="47" t="str">
        <f t="shared" si="8"/>
        <v>MARA 40 BLANC 70*100 VERRE</v>
      </c>
      <c r="AD85" s="39" t="s">
        <v>127</v>
      </c>
      <c r="AE85" s="39" t="str">
        <f t="shared" si="9"/>
        <v>ROMY  70*100 BLANC VERRE PAS DE REHAUSSE - CADRES CLASSIQUES - Pas de passepartout - Dos classique sans chevalet (Largeur 40mm Profondeur 15mm)</v>
      </c>
      <c r="AF85" s="39" t="str">
        <f t="shared" si="1"/>
        <v>ROMY  70*100 BLANC VERRE PAS DE REHAUSSE - CADRES CLASSIQUES - Pas de passepartout - Dos classique sans chevalet (Largeur 40mm Profondeur 15mm)</v>
      </c>
      <c r="AG85" s="53">
        <f t="shared" si="10"/>
        <v>43.86823746</v>
      </c>
      <c r="AH85" s="39"/>
      <c r="AI85" s="39"/>
      <c r="AJ85" s="39"/>
      <c r="AK85" s="39"/>
      <c r="AL85" s="39"/>
      <c r="AM85" s="39"/>
      <c r="AN85" s="39"/>
      <c r="AO85" s="39"/>
      <c r="AP85" s="39"/>
    </row>
    <row r="86" ht="15.75" customHeight="1">
      <c r="A86" s="39">
        <v>980.0</v>
      </c>
      <c r="B86" s="40" t="s">
        <v>168</v>
      </c>
      <c r="C86" s="41" t="s">
        <v>37</v>
      </c>
      <c r="D86" s="42" t="s">
        <v>169</v>
      </c>
      <c r="E86" s="43">
        <v>345707.0</v>
      </c>
      <c r="F86" s="44" t="s">
        <v>169</v>
      </c>
      <c r="G86" s="45">
        <v>9.0</v>
      </c>
      <c r="H86" s="54">
        <v>2.571231680997874</v>
      </c>
      <c r="I86" s="47" t="s">
        <v>39</v>
      </c>
      <c r="J86" s="39" t="str">
        <f t="shared" si="2"/>
        <v>069608 - MARA 25</v>
      </c>
      <c r="K86" s="47">
        <f t="shared" si="3"/>
        <v>4.7815</v>
      </c>
      <c r="L86" s="48">
        <v>2.62</v>
      </c>
      <c r="M86" s="49">
        <f t="shared" si="4"/>
        <v>4.7815</v>
      </c>
      <c r="N86" s="39" t="s">
        <v>40</v>
      </c>
      <c r="O86" s="39" t="s">
        <v>41</v>
      </c>
      <c r="P86" s="39" t="s">
        <v>170</v>
      </c>
      <c r="Q86" s="47" t="str">
        <f t="shared" si="5"/>
        <v>10*15</v>
      </c>
      <c r="R86" s="50">
        <v>1.0</v>
      </c>
      <c r="S86" s="51">
        <v>0.0</v>
      </c>
      <c r="T86" s="51">
        <v>1.0</v>
      </c>
      <c r="U86" s="51">
        <v>0.0</v>
      </c>
      <c r="V86" s="39" t="s">
        <v>43</v>
      </c>
      <c r="W86" s="47" t="str">
        <f t="shared" si="6"/>
        <v>NOIR - 10*15 - PAS DE REHAUSSE - (Largeur 25mm Profondeur 15mm)</v>
      </c>
      <c r="X86" s="50">
        <v>0.0</v>
      </c>
      <c r="Y86" s="52" t="s">
        <v>44</v>
      </c>
      <c r="Z86" s="47" t="str">
        <f t="shared" si="7"/>
        <v>MARA 25 NOIR 10*15 VERRE</v>
      </c>
      <c r="AA86" s="39" t="s">
        <v>45</v>
      </c>
      <c r="AB86" s="39" t="s">
        <v>46</v>
      </c>
      <c r="AC86" s="47" t="str">
        <f t="shared" si="8"/>
        <v>MARA 25 NOIR 10*15 VERRE</v>
      </c>
      <c r="AD86" s="39" t="s">
        <v>47</v>
      </c>
      <c r="AE86" s="39" t="str">
        <f t="shared" si="9"/>
        <v>ROMY  10*15 NOIR VERRE PAS DE REHAUSSE - CADRES CLASSIQUES - Pas de passepartout - Dos classique sans chevalet (Largeur 25mm Profondeur 15mm)</v>
      </c>
      <c r="AF86" s="39" t="str">
        <f t="shared" si="1"/>
        <v>ROMY  10*15 NOIR VERRE PAS DE REHAUSSE - CADRES CLASSIQUES - Pas de passepartout - Dos classique sans chevalet (Largeur 25mm Profondeur 15mm)</v>
      </c>
      <c r="AG86" s="53">
        <f t="shared" si="10"/>
        <v>4.628217026</v>
      </c>
      <c r="AH86" s="39"/>
      <c r="AI86" s="39"/>
      <c r="AJ86" s="39"/>
      <c r="AK86" s="39"/>
      <c r="AL86" s="39"/>
      <c r="AM86" s="39"/>
      <c r="AN86" s="39"/>
      <c r="AO86" s="39"/>
      <c r="AP86" s="39"/>
    </row>
    <row r="87" ht="15.75" customHeight="1">
      <c r="A87" s="39">
        <v>980.0</v>
      </c>
      <c r="B87" s="40" t="s">
        <v>168</v>
      </c>
      <c r="C87" s="41" t="s">
        <v>37</v>
      </c>
      <c r="D87" s="42" t="s">
        <v>171</v>
      </c>
      <c r="E87" s="43">
        <v>345707.0</v>
      </c>
      <c r="F87" s="44" t="s">
        <v>169</v>
      </c>
      <c r="G87" s="45">
        <v>9.0</v>
      </c>
      <c r="H87" s="54">
        <v>2.571231680997874</v>
      </c>
      <c r="I87" s="47" t="s">
        <v>39</v>
      </c>
      <c r="J87" s="39" t="str">
        <f t="shared" si="2"/>
        <v>069608DC - MARA 25</v>
      </c>
      <c r="K87" s="47">
        <f t="shared" si="3"/>
        <v>4.7815</v>
      </c>
      <c r="L87" s="48">
        <v>2.62</v>
      </c>
      <c r="M87" s="49">
        <f t="shared" si="4"/>
        <v>4.7815</v>
      </c>
      <c r="N87" s="39" t="s">
        <v>40</v>
      </c>
      <c r="O87" s="39" t="s">
        <v>41</v>
      </c>
      <c r="P87" s="39" t="s">
        <v>170</v>
      </c>
      <c r="Q87" s="47" t="str">
        <f t="shared" si="5"/>
        <v>10*15</v>
      </c>
      <c r="R87" s="50">
        <v>1.0</v>
      </c>
      <c r="S87" s="51">
        <v>0.0</v>
      </c>
      <c r="T87" s="51">
        <v>1.0</v>
      </c>
      <c r="U87" s="51">
        <v>1.0</v>
      </c>
      <c r="V87" s="39" t="s">
        <v>43</v>
      </c>
      <c r="W87" s="47" t="str">
        <f t="shared" si="6"/>
        <v>NOIR - 10*15 - PAS DE REHAUSSE - (Largeur 25mm Profondeur 15mm)</v>
      </c>
      <c r="X87" s="50">
        <v>0.0</v>
      </c>
      <c r="Y87" s="52" t="s">
        <v>44</v>
      </c>
      <c r="Z87" s="47" t="str">
        <f t="shared" si="7"/>
        <v>MARA 25 NOIR 10*15 VERRE</v>
      </c>
      <c r="AA87" s="39" t="s">
        <v>45</v>
      </c>
      <c r="AB87" s="39" t="s">
        <v>49</v>
      </c>
      <c r="AC87" s="47" t="str">
        <f t="shared" si="8"/>
        <v>MARA 25 NOIR 10*15 VERRE</v>
      </c>
      <c r="AD87" s="39" t="s">
        <v>47</v>
      </c>
      <c r="AE87" s="39" t="str">
        <f t="shared" si="9"/>
        <v>ROMY  10*15 NOIR VERRE PAS DE REHAUSSE - CADRES CLASSIQUES - Pas de passepartout - DOS AVEC CHEVALET (Largeur 25mm Profondeur 15mm)</v>
      </c>
      <c r="AF87" s="39" t="str">
        <f t="shared" si="1"/>
        <v>ROMY  10*15 NOIR VERRE PAS DE REHAUSSE - CADRES CLASSIQUES - Pas de passepartout - DOS AVEC CHEVALET (Largeur 25mm Profondeur 15mm)</v>
      </c>
      <c r="AG87" s="53">
        <f t="shared" si="10"/>
        <v>4.628217026</v>
      </c>
      <c r="AH87" s="39"/>
      <c r="AI87" s="39"/>
      <c r="AJ87" s="39"/>
      <c r="AK87" s="39"/>
      <c r="AL87" s="39"/>
      <c r="AM87" s="39"/>
      <c r="AN87" s="39"/>
      <c r="AO87" s="39"/>
      <c r="AP87" s="39"/>
    </row>
    <row r="88" ht="15.75" customHeight="1">
      <c r="A88" s="39">
        <v>981.0</v>
      </c>
      <c r="B88" s="40" t="s">
        <v>168</v>
      </c>
      <c r="C88" s="41" t="s">
        <v>50</v>
      </c>
      <c r="D88" s="42" t="s">
        <v>172</v>
      </c>
      <c r="E88" s="43">
        <v>345707.0</v>
      </c>
      <c r="F88" s="44" t="s">
        <v>172</v>
      </c>
      <c r="G88" s="45">
        <v>6.0</v>
      </c>
      <c r="H88" s="54">
        <v>2.3393166666333602</v>
      </c>
      <c r="I88" s="47" t="s">
        <v>39</v>
      </c>
      <c r="J88" s="39" t="str">
        <f t="shared" si="2"/>
        <v>069609 - MARA 25</v>
      </c>
      <c r="K88" s="47">
        <f t="shared" si="3"/>
        <v>4.3435</v>
      </c>
      <c r="L88" s="48">
        <v>2.38</v>
      </c>
      <c r="M88" s="49">
        <f t="shared" si="4"/>
        <v>4.3435</v>
      </c>
      <c r="N88" s="39" t="s">
        <v>40</v>
      </c>
      <c r="O88" s="39" t="s">
        <v>41</v>
      </c>
      <c r="P88" s="39" t="s">
        <v>170</v>
      </c>
      <c r="Q88" s="47" t="str">
        <f t="shared" si="5"/>
        <v>11*11</v>
      </c>
      <c r="R88" s="50">
        <v>1.0</v>
      </c>
      <c r="S88" s="51">
        <v>0.0</v>
      </c>
      <c r="T88" s="51">
        <v>0.0</v>
      </c>
      <c r="U88" s="51">
        <v>0.0</v>
      </c>
      <c r="V88" s="39" t="s">
        <v>43</v>
      </c>
      <c r="W88" s="47" t="str">
        <f t="shared" si="6"/>
        <v>NOIR - 11*11 - PAS DE REHAUSSE - (Largeur 25mm Profondeur 15mm)</v>
      </c>
      <c r="X88" s="50">
        <v>0.0</v>
      </c>
      <c r="Y88" s="52" t="s">
        <v>44</v>
      </c>
      <c r="Z88" s="47" t="str">
        <f t="shared" si="7"/>
        <v>MARA 25 NOIR 11*11 VERRE</v>
      </c>
      <c r="AA88" s="39" t="s">
        <v>45</v>
      </c>
      <c r="AB88" s="39" t="s">
        <v>46</v>
      </c>
      <c r="AC88" s="47" t="str">
        <f t="shared" si="8"/>
        <v>MARA 25 NOIR 11*11 VERRE</v>
      </c>
      <c r="AD88" s="39" t="s">
        <v>47</v>
      </c>
      <c r="AE88" s="39" t="str">
        <f t="shared" si="9"/>
        <v>ROMY  11*11 NOIR VERRE PAS DE REHAUSSE - CADRES CLASSIQUES - Pas de passepartout - Dos classique sans chevalet (Largeur 25mm Profondeur 15mm)</v>
      </c>
      <c r="AF88" s="39" t="str">
        <f t="shared" si="1"/>
        <v>ROMY  11*11 NOIR VERRE PAS DE REHAUSSE - CADRES CLASSIQUES - Pas de passepartout - Dos classique sans chevalet (Largeur 25mm Profondeur 15mm)</v>
      </c>
      <c r="AG88" s="53">
        <f t="shared" si="10"/>
        <v>4.21077</v>
      </c>
      <c r="AH88" s="39"/>
      <c r="AI88" s="39"/>
      <c r="AJ88" s="39"/>
      <c r="AK88" s="39"/>
      <c r="AL88" s="39"/>
      <c r="AM88" s="39"/>
      <c r="AN88" s="39"/>
      <c r="AO88" s="39"/>
      <c r="AP88" s="39"/>
    </row>
    <row r="89" ht="15.75" customHeight="1">
      <c r="A89" s="39">
        <v>982.0</v>
      </c>
      <c r="B89" s="40" t="s">
        <v>168</v>
      </c>
      <c r="C89" s="41" t="s">
        <v>52</v>
      </c>
      <c r="D89" s="42" t="s">
        <v>173</v>
      </c>
      <c r="E89" s="43">
        <v>345707.0</v>
      </c>
      <c r="F89" s="44" t="s">
        <v>173</v>
      </c>
      <c r="G89" s="45">
        <v>9.0</v>
      </c>
      <c r="H89" s="54">
        <v>2.9760026066899763</v>
      </c>
      <c r="I89" s="47" t="s">
        <v>39</v>
      </c>
      <c r="J89" s="39" t="str">
        <f t="shared" si="2"/>
        <v>069611 - MARA 25</v>
      </c>
      <c r="K89" s="47">
        <f t="shared" si="3"/>
        <v>5.52975</v>
      </c>
      <c r="L89" s="48">
        <v>3.03</v>
      </c>
      <c r="M89" s="49">
        <f t="shared" si="4"/>
        <v>5.52975</v>
      </c>
      <c r="N89" s="39" t="s">
        <v>40</v>
      </c>
      <c r="O89" s="39" t="s">
        <v>41</v>
      </c>
      <c r="P89" s="39" t="s">
        <v>170</v>
      </c>
      <c r="Q89" s="47" t="str">
        <f t="shared" si="5"/>
        <v>13*18</v>
      </c>
      <c r="R89" s="50">
        <v>1.0</v>
      </c>
      <c r="S89" s="51">
        <v>0.0</v>
      </c>
      <c r="T89" s="51">
        <v>1.0</v>
      </c>
      <c r="U89" s="51">
        <v>0.0</v>
      </c>
      <c r="V89" s="39" t="s">
        <v>43</v>
      </c>
      <c r="W89" s="47" t="str">
        <f t="shared" si="6"/>
        <v>NOIR - 13*18 - PAS DE REHAUSSE - (Largeur 25mm Profondeur 15mm)</v>
      </c>
      <c r="X89" s="50">
        <v>0.0</v>
      </c>
      <c r="Y89" s="52" t="s">
        <v>44</v>
      </c>
      <c r="Z89" s="47" t="str">
        <f t="shared" si="7"/>
        <v>MARA 25 NOIR 13*18 VERRE</v>
      </c>
      <c r="AA89" s="39" t="s">
        <v>45</v>
      </c>
      <c r="AB89" s="39" t="s">
        <v>46</v>
      </c>
      <c r="AC89" s="47" t="str">
        <f t="shared" si="8"/>
        <v>MARA 25 NOIR 13*18 VERRE</v>
      </c>
      <c r="AD89" s="39" t="s">
        <v>47</v>
      </c>
      <c r="AE89" s="39" t="str">
        <f t="shared" si="9"/>
        <v>ROMY  13*18 NOIR VERRE PAS DE REHAUSSE - CADRES CLASSIQUES - Pas de passepartout - Dos classique sans chevalet (Largeur 25mm Profondeur 15mm)</v>
      </c>
      <c r="AF89" s="39" t="str">
        <f t="shared" si="1"/>
        <v>ROMY  13*18 NOIR VERRE PAS DE REHAUSSE - CADRES CLASSIQUES - Pas de passepartout - Dos classique sans chevalet (Largeur 25mm Profondeur 15mm)</v>
      </c>
      <c r="AG89" s="53">
        <f t="shared" si="10"/>
        <v>5.356804692</v>
      </c>
      <c r="AH89" s="39"/>
      <c r="AI89" s="39"/>
      <c r="AJ89" s="39"/>
      <c r="AK89" s="39"/>
      <c r="AL89" s="39"/>
      <c r="AM89" s="39"/>
      <c r="AN89" s="39"/>
      <c r="AO89" s="39"/>
      <c r="AP89" s="39"/>
    </row>
    <row r="90" ht="15.75" customHeight="1">
      <c r="A90" s="39">
        <v>982.0</v>
      </c>
      <c r="B90" s="40" t="s">
        <v>168</v>
      </c>
      <c r="C90" s="41" t="s">
        <v>52</v>
      </c>
      <c r="D90" s="42" t="s">
        <v>174</v>
      </c>
      <c r="E90" s="43">
        <v>345707.0</v>
      </c>
      <c r="F90" s="44" t="s">
        <v>173</v>
      </c>
      <c r="G90" s="45">
        <v>9.0</v>
      </c>
      <c r="H90" s="54">
        <v>2.9760026066899763</v>
      </c>
      <c r="I90" s="47" t="s">
        <v>39</v>
      </c>
      <c r="J90" s="39" t="str">
        <f t="shared" si="2"/>
        <v>069611DC - MARA 25</v>
      </c>
      <c r="K90" s="47">
        <f t="shared" si="3"/>
        <v>5.52975</v>
      </c>
      <c r="L90" s="48">
        <v>3.03</v>
      </c>
      <c r="M90" s="49">
        <f t="shared" si="4"/>
        <v>5.52975</v>
      </c>
      <c r="N90" s="39" t="s">
        <v>40</v>
      </c>
      <c r="O90" s="39" t="s">
        <v>41</v>
      </c>
      <c r="P90" s="39" t="s">
        <v>170</v>
      </c>
      <c r="Q90" s="47" t="str">
        <f t="shared" si="5"/>
        <v>13*18</v>
      </c>
      <c r="R90" s="50">
        <v>1.0</v>
      </c>
      <c r="S90" s="51">
        <v>0.0</v>
      </c>
      <c r="T90" s="51">
        <v>1.0</v>
      </c>
      <c r="U90" s="51">
        <v>1.0</v>
      </c>
      <c r="V90" s="39" t="s">
        <v>43</v>
      </c>
      <c r="W90" s="47" t="str">
        <f t="shared" si="6"/>
        <v>NOIR - 13*18 - PAS DE REHAUSSE - (Largeur 25mm Profondeur 15mm)</v>
      </c>
      <c r="X90" s="50">
        <v>0.0</v>
      </c>
      <c r="Y90" s="52" t="s">
        <v>44</v>
      </c>
      <c r="Z90" s="47" t="str">
        <f t="shared" si="7"/>
        <v>MARA 25 NOIR 13*18 VERRE</v>
      </c>
      <c r="AA90" s="39" t="s">
        <v>45</v>
      </c>
      <c r="AB90" s="39" t="s">
        <v>49</v>
      </c>
      <c r="AC90" s="47" t="str">
        <f t="shared" si="8"/>
        <v>MARA 25 NOIR 13*18 VERRE</v>
      </c>
      <c r="AD90" s="39" t="s">
        <v>47</v>
      </c>
      <c r="AE90" s="39" t="str">
        <f t="shared" si="9"/>
        <v>ROMY  13*18 NOIR VERRE PAS DE REHAUSSE - CADRES CLASSIQUES - Pas de passepartout - DOS AVEC CHEVALET (Largeur 25mm Profondeur 15mm)</v>
      </c>
      <c r="AF90" s="39" t="str">
        <f t="shared" si="1"/>
        <v>ROMY  13*18 NOIR VERRE PAS DE REHAUSSE - CADRES CLASSIQUES - Pas de passepartout - DOS AVEC CHEVALET (Largeur 25mm Profondeur 15mm)</v>
      </c>
      <c r="AG90" s="53">
        <f t="shared" si="10"/>
        <v>5.356804692</v>
      </c>
      <c r="AH90" s="39"/>
      <c r="AI90" s="39"/>
      <c r="AJ90" s="39"/>
      <c r="AK90" s="39"/>
      <c r="AL90" s="39"/>
      <c r="AM90" s="39"/>
      <c r="AN90" s="39"/>
      <c r="AO90" s="39"/>
      <c r="AP90" s="39"/>
    </row>
    <row r="91" ht="15.75" customHeight="1">
      <c r="A91" s="39">
        <v>983.0</v>
      </c>
      <c r="B91" s="40" t="s">
        <v>168</v>
      </c>
      <c r="C91" s="41" t="s">
        <v>55</v>
      </c>
      <c r="D91" s="42" t="s">
        <v>175</v>
      </c>
      <c r="E91" s="43">
        <v>345707.0</v>
      </c>
      <c r="F91" s="44" t="s">
        <v>175</v>
      </c>
      <c r="G91" s="45">
        <v>3.0</v>
      </c>
      <c r="H91" s="54">
        <v>2.7786587745909794</v>
      </c>
      <c r="I91" s="47" t="s">
        <v>39</v>
      </c>
      <c r="J91" s="39" t="str">
        <f t="shared" si="2"/>
        <v>069613 - MARA 25</v>
      </c>
      <c r="K91" s="47">
        <f t="shared" si="3"/>
        <v>5.16475</v>
      </c>
      <c r="L91" s="48">
        <v>2.83</v>
      </c>
      <c r="M91" s="49">
        <f t="shared" si="4"/>
        <v>5.16475</v>
      </c>
      <c r="N91" s="39" t="s">
        <v>40</v>
      </c>
      <c r="O91" s="39" t="s">
        <v>41</v>
      </c>
      <c r="P91" s="39" t="s">
        <v>170</v>
      </c>
      <c r="Q91" s="47" t="str">
        <f t="shared" si="5"/>
        <v>14*14</v>
      </c>
      <c r="R91" s="50">
        <v>1.0</v>
      </c>
      <c r="S91" s="51">
        <v>0.0</v>
      </c>
      <c r="T91" s="51">
        <v>0.0</v>
      </c>
      <c r="U91" s="51">
        <v>0.0</v>
      </c>
      <c r="V91" s="39" t="s">
        <v>43</v>
      </c>
      <c r="W91" s="47" t="str">
        <f t="shared" si="6"/>
        <v>NOIR - 14*14 - PAS DE REHAUSSE - (Largeur 25mm Profondeur 15mm)</v>
      </c>
      <c r="X91" s="50">
        <v>0.0</v>
      </c>
      <c r="Y91" s="52" t="s">
        <v>44</v>
      </c>
      <c r="Z91" s="47" t="str">
        <f t="shared" si="7"/>
        <v>MARA 25 NOIR 14*14 VERRE</v>
      </c>
      <c r="AA91" s="39" t="s">
        <v>45</v>
      </c>
      <c r="AB91" s="39" t="s">
        <v>46</v>
      </c>
      <c r="AC91" s="47" t="str">
        <f t="shared" si="8"/>
        <v>MARA 25 NOIR 14*14 VERRE</v>
      </c>
      <c r="AD91" s="39" t="s">
        <v>47</v>
      </c>
      <c r="AE91" s="39" t="str">
        <f t="shared" si="9"/>
        <v>ROMY  14*14 NOIR VERRE PAS DE REHAUSSE - CADRES CLASSIQUES - Pas de passepartout - Dos classique sans chevalet (Largeur 25mm Profondeur 15mm)</v>
      </c>
      <c r="AF91" s="39" t="str">
        <f t="shared" si="1"/>
        <v>ROMY  14*14 NOIR VERRE PAS DE REHAUSSE - CADRES CLASSIQUES - Pas de passepartout - Dos classique sans chevalet (Largeur 25mm Profondeur 15mm)</v>
      </c>
      <c r="AG91" s="53">
        <f t="shared" si="10"/>
        <v>5.001585794</v>
      </c>
      <c r="AH91" s="39"/>
      <c r="AI91" s="39"/>
      <c r="AJ91" s="39"/>
      <c r="AK91" s="39"/>
      <c r="AL91" s="39"/>
      <c r="AM91" s="39"/>
      <c r="AN91" s="39"/>
      <c r="AO91" s="39"/>
      <c r="AP91" s="39"/>
    </row>
    <row r="92" ht="15.75" customHeight="1">
      <c r="A92" s="39">
        <v>984.0</v>
      </c>
      <c r="B92" s="40" t="s">
        <v>168</v>
      </c>
      <c r="C92" s="41" t="s">
        <v>57</v>
      </c>
      <c r="D92" s="42" t="s">
        <v>176</v>
      </c>
      <c r="E92" s="43">
        <v>345707.0</v>
      </c>
      <c r="F92" s="44" t="s">
        <v>176</v>
      </c>
      <c r="G92" s="45">
        <v>4.0</v>
      </c>
      <c r="H92" s="54">
        <v>3.4104</v>
      </c>
      <c r="I92" s="47" t="s">
        <v>39</v>
      </c>
      <c r="J92" s="39" t="str">
        <f t="shared" si="2"/>
        <v>054216 - MARA 25</v>
      </c>
      <c r="K92" s="47">
        <f t="shared" si="3"/>
        <v>6.351</v>
      </c>
      <c r="L92" s="48">
        <v>3.48</v>
      </c>
      <c r="M92" s="49">
        <f t="shared" si="4"/>
        <v>6.351</v>
      </c>
      <c r="N92" s="39" t="s">
        <v>40</v>
      </c>
      <c r="O92" s="39" t="s">
        <v>41</v>
      </c>
      <c r="P92" s="39" t="s">
        <v>170</v>
      </c>
      <c r="Q92" s="47" t="str">
        <f t="shared" si="5"/>
        <v>15*20</v>
      </c>
      <c r="R92" s="50">
        <v>1.0</v>
      </c>
      <c r="S92" s="51">
        <v>0.0</v>
      </c>
      <c r="T92" s="51">
        <v>0.0</v>
      </c>
      <c r="U92" s="51">
        <v>0.0</v>
      </c>
      <c r="V92" s="39" t="s">
        <v>43</v>
      </c>
      <c r="W92" s="47" t="str">
        <f t="shared" si="6"/>
        <v>NOIR - 15*20 - PAS DE REHAUSSE - (Largeur 25mm Profondeur 15mm)</v>
      </c>
      <c r="X92" s="50">
        <v>0.0</v>
      </c>
      <c r="Y92" s="52" t="s">
        <v>44</v>
      </c>
      <c r="Z92" s="47" t="str">
        <f t="shared" si="7"/>
        <v>MARA 25 NOIR 15*20 VERRE</v>
      </c>
      <c r="AA92" s="39" t="s">
        <v>45</v>
      </c>
      <c r="AB92" s="39" t="s">
        <v>46</v>
      </c>
      <c r="AC92" s="47" t="str">
        <f t="shared" si="8"/>
        <v>MARA 25 NOIR 15*20 VERRE</v>
      </c>
      <c r="AD92" s="39" t="s">
        <v>47</v>
      </c>
      <c r="AE92" s="39" t="str">
        <f t="shared" si="9"/>
        <v>ROMY  15*20 NOIR VERRE PAS DE REHAUSSE - CADRES CLASSIQUES - Pas de passepartout - Dos classique sans chevalet (Largeur 25mm Profondeur 15mm)</v>
      </c>
      <c r="AF92" s="39" t="str">
        <f t="shared" si="1"/>
        <v>ROMY  15*20 NOIR VERRE PAS DE REHAUSSE - CADRES CLASSIQUES - Pas de passepartout - Dos classique sans chevalet (Largeur 25mm Profondeur 15mm)</v>
      </c>
      <c r="AG92" s="53">
        <f t="shared" si="10"/>
        <v>6.13872</v>
      </c>
      <c r="AH92" s="39"/>
      <c r="AI92" s="39"/>
      <c r="AJ92" s="39"/>
      <c r="AK92" s="39"/>
      <c r="AL92" s="39"/>
      <c r="AM92" s="39"/>
      <c r="AN92" s="39"/>
      <c r="AO92" s="39"/>
      <c r="AP92" s="39"/>
    </row>
    <row r="93" ht="15.75" customHeight="1">
      <c r="A93" s="39">
        <v>985.0</v>
      </c>
      <c r="B93" s="40" t="s">
        <v>168</v>
      </c>
      <c r="C93" s="41" t="s">
        <v>59</v>
      </c>
      <c r="D93" s="42" t="s">
        <v>177</v>
      </c>
      <c r="E93" s="43">
        <v>345707.0</v>
      </c>
      <c r="F93" s="44" t="s">
        <v>177</v>
      </c>
      <c r="G93" s="45">
        <v>0.0</v>
      </c>
      <c r="H93" s="54">
        <v>3.411023316864407</v>
      </c>
      <c r="I93" s="47" t="s">
        <v>39</v>
      </c>
      <c r="J93" s="39" t="str">
        <f t="shared" si="2"/>
        <v>069614 - MARA 25</v>
      </c>
      <c r="K93" s="47">
        <f t="shared" si="3"/>
        <v>6.351</v>
      </c>
      <c r="L93" s="48">
        <v>3.48</v>
      </c>
      <c r="M93" s="49">
        <f t="shared" si="4"/>
        <v>6.351</v>
      </c>
      <c r="N93" s="39" t="s">
        <v>40</v>
      </c>
      <c r="O93" s="39" t="s">
        <v>41</v>
      </c>
      <c r="P93" s="39" t="s">
        <v>170</v>
      </c>
      <c r="Q93" s="47" t="str">
        <f t="shared" si="5"/>
        <v>15*21</v>
      </c>
      <c r="R93" s="50">
        <v>1.0</v>
      </c>
      <c r="S93" s="51">
        <v>0.0</v>
      </c>
      <c r="T93" s="51">
        <v>1.0</v>
      </c>
      <c r="U93" s="51">
        <v>0.0</v>
      </c>
      <c r="V93" s="39" t="s">
        <v>43</v>
      </c>
      <c r="W93" s="47" t="str">
        <f t="shared" si="6"/>
        <v>NOIR - 15*21 - PAS DE REHAUSSE - (Largeur 25mm Profondeur 15mm)</v>
      </c>
      <c r="X93" s="50">
        <v>0.0</v>
      </c>
      <c r="Y93" s="52" t="s">
        <v>44</v>
      </c>
      <c r="Z93" s="47" t="str">
        <f t="shared" si="7"/>
        <v>MARA 25 NOIR 15*21 VERRE</v>
      </c>
      <c r="AA93" s="39" t="s">
        <v>45</v>
      </c>
      <c r="AB93" s="39" t="s">
        <v>46</v>
      </c>
      <c r="AC93" s="47" t="str">
        <f t="shared" si="8"/>
        <v>MARA 25 NOIR 15*21 VERRE</v>
      </c>
      <c r="AD93" s="39" t="s">
        <v>47</v>
      </c>
      <c r="AE93" s="39" t="str">
        <f t="shared" si="9"/>
        <v>ROMY  15*21 NOIR VERRE PAS DE REHAUSSE - CADRES CLASSIQUES - Pas de passepartout - Dos classique sans chevalet (Largeur 25mm Profondeur 15mm)</v>
      </c>
      <c r="AF93" s="39" t="str">
        <f t="shared" si="1"/>
        <v>ROMY  15*21 NOIR VERRE PAS DE REHAUSSE - CADRES CLASSIQUES - Pas de passepartout - Dos classique sans chevalet (Largeur 25mm Profondeur 15mm)</v>
      </c>
      <c r="AG93" s="53">
        <f t="shared" si="10"/>
        <v>6.13984197</v>
      </c>
      <c r="AH93" s="39"/>
      <c r="AI93" s="39"/>
      <c r="AJ93" s="39"/>
      <c r="AK93" s="39"/>
      <c r="AL93" s="39"/>
      <c r="AM93" s="39"/>
      <c r="AN93" s="39"/>
      <c r="AO93" s="39"/>
      <c r="AP93" s="39"/>
    </row>
    <row r="94" ht="15.75" customHeight="1">
      <c r="A94" s="39">
        <v>985.0</v>
      </c>
      <c r="B94" s="40" t="s">
        <v>168</v>
      </c>
      <c r="C94" s="41" t="s">
        <v>59</v>
      </c>
      <c r="D94" s="42" t="s">
        <v>178</v>
      </c>
      <c r="E94" s="43">
        <v>345707.0</v>
      </c>
      <c r="F94" s="44" t="s">
        <v>177</v>
      </c>
      <c r="G94" s="45">
        <v>0.0</v>
      </c>
      <c r="H94" s="54">
        <v>3.411023316864407</v>
      </c>
      <c r="I94" s="47" t="s">
        <v>39</v>
      </c>
      <c r="J94" s="39" t="str">
        <f t="shared" si="2"/>
        <v>069614DC - MARA 25</v>
      </c>
      <c r="K94" s="47">
        <f t="shared" si="3"/>
        <v>6.351</v>
      </c>
      <c r="L94" s="48">
        <v>3.48</v>
      </c>
      <c r="M94" s="49">
        <f t="shared" si="4"/>
        <v>6.351</v>
      </c>
      <c r="N94" s="39" t="s">
        <v>40</v>
      </c>
      <c r="O94" s="39" t="s">
        <v>41</v>
      </c>
      <c r="P94" s="39" t="s">
        <v>170</v>
      </c>
      <c r="Q94" s="47" t="str">
        <f t="shared" si="5"/>
        <v>15*21</v>
      </c>
      <c r="R94" s="50">
        <v>1.0</v>
      </c>
      <c r="S94" s="51">
        <v>0.0</v>
      </c>
      <c r="T94" s="51">
        <v>1.0</v>
      </c>
      <c r="U94" s="51">
        <v>1.0</v>
      </c>
      <c r="V94" s="39" t="s">
        <v>43</v>
      </c>
      <c r="W94" s="47" t="str">
        <f t="shared" si="6"/>
        <v>NOIR - 15*21 - PAS DE REHAUSSE - (Largeur 25mm Profondeur 15mm)</v>
      </c>
      <c r="X94" s="50">
        <v>0.0</v>
      </c>
      <c r="Y94" s="52" t="s">
        <v>44</v>
      </c>
      <c r="Z94" s="47" t="str">
        <f t="shared" si="7"/>
        <v>MARA 25 NOIR 15*21 VERRE</v>
      </c>
      <c r="AA94" s="39" t="s">
        <v>45</v>
      </c>
      <c r="AB94" s="39" t="s">
        <v>49</v>
      </c>
      <c r="AC94" s="47" t="str">
        <f t="shared" si="8"/>
        <v>MARA 25 NOIR 15*21 VERRE</v>
      </c>
      <c r="AD94" s="39" t="s">
        <v>47</v>
      </c>
      <c r="AE94" s="39" t="str">
        <f t="shared" si="9"/>
        <v>ROMY  15*21 NOIR VERRE PAS DE REHAUSSE - CADRES CLASSIQUES - Pas de passepartout - DOS AVEC CHEVALET (Largeur 25mm Profondeur 15mm)</v>
      </c>
      <c r="AF94" s="39" t="str">
        <f t="shared" si="1"/>
        <v>ROMY  15*21 NOIR VERRE PAS DE REHAUSSE - CADRES CLASSIQUES - Pas de passepartout - DOS AVEC CHEVALET (Largeur 25mm Profondeur 15mm)</v>
      </c>
      <c r="AG94" s="53">
        <f t="shared" si="10"/>
        <v>6.13984197</v>
      </c>
      <c r="AH94" s="39"/>
      <c r="AI94" s="39"/>
      <c r="AJ94" s="39"/>
      <c r="AK94" s="39"/>
      <c r="AL94" s="39"/>
      <c r="AM94" s="39"/>
      <c r="AN94" s="39"/>
      <c r="AO94" s="39"/>
      <c r="AP94" s="39"/>
    </row>
    <row r="95" ht="15.75" customHeight="1">
      <c r="A95" s="39">
        <v>986.0</v>
      </c>
      <c r="B95" s="40" t="s">
        <v>168</v>
      </c>
      <c r="C95" s="41" t="s">
        <v>62</v>
      </c>
      <c r="D95" s="42" t="s">
        <v>179</v>
      </c>
      <c r="E95" s="43">
        <v>345707.0</v>
      </c>
      <c r="F95" s="44" t="s">
        <v>179</v>
      </c>
      <c r="G95" s="45">
        <v>7.0</v>
      </c>
      <c r="H95" s="54">
        <v>3.9151863915698706</v>
      </c>
      <c r="I95" s="47" t="s">
        <v>39</v>
      </c>
      <c r="J95" s="39" t="str">
        <f t="shared" si="2"/>
        <v>069615 - MARA 25</v>
      </c>
      <c r="K95" s="47">
        <f t="shared" si="3"/>
        <v>7.28175</v>
      </c>
      <c r="L95" s="48">
        <v>3.99</v>
      </c>
      <c r="M95" s="49">
        <f t="shared" si="4"/>
        <v>7.28175</v>
      </c>
      <c r="N95" s="39" t="s">
        <v>40</v>
      </c>
      <c r="O95" s="39" t="s">
        <v>41</v>
      </c>
      <c r="P95" s="39" t="s">
        <v>170</v>
      </c>
      <c r="Q95" s="47" t="str">
        <f t="shared" si="5"/>
        <v>18*24</v>
      </c>
      <c r="R95" s="50">
        <v>1.0</v>
      </c>
      <c r="S95" s="51">
        <v>0.0</v>
      </c>
      <c r="T95" s="51">
        <v>1.0</v>
      </c>
      <c r="U95" s="51">
        <v>0.0</v>
      </c>
      <c r="V95" s="39" t="s">
        <v>43</v>
      </c>
      <c r="W95" s="47" t="str">
        <f t="shared" si="6"/>
        <v>NOIR - 18*24 - PAS DE REHAUSSE - (Largeur 25mm Profondeur 15mm)</v>
      </c>
      <c r="X95" s="50">
        <v>0.0</v>
      </c>
      <c r="Y95" s="52" t="s">
        <v>44</v>
      </c>
      <c r="Z95" s="47" t="str">
        <f t="shared" si="7"/>
        <v>MARA 25 NOIR 18*24 VERRE</v>
      </c>
      <c r="AA95" s="39" t="s">
        <v>45</v>
      </c>
      <c r="AB95" s="39" t="s">
        <v>46</v>
      </c>
      <c r="AC95" s="47" t="str">
        <f t="shared" si="8"/>
        <v>MARA 25 NOIR 18*24 VERRE</v>
      </c>
      <c r="AD95" s="39" t="s">
        <v>47</v>
      </c>
      <c r="AE95" s="39" t="str">
        <f t="shared" si="9"/>
        <v>ROMY  18*24 NOIR VERRE PAS DE REHAUSSE - CADRES CLASSIQUES - Pas de passepartout - Dos classique sans chevalet (Largeur 25mm Profondeur 15mm)</v>
      </c>
      <c r="AF95" s="39" t="str">
        <f t="shared" si="1"/>
        <v>ROMY  18*24 NOIR VERRE PAS DE REHAUSSE - CADRES CLASSIQUES - Pas de passepartout - Dos classique sans chevalet (Largeur 25mm Profondeur 15mm)</v>
      </c>
      <c r="AG95" s="53">
        <f t="shared" si="10"/>
        <v>7.047335505</v>
      </c>
      <c r="AH95" s="39"/>
      <c r="AI95" s="39"/>
      <c r="AJ95" s="39"/>
      <c r="AK95" s="39"/>
      <c r="AL95" s="39"/>
      <c r="AM95" s="39"/>
      <c r="AN95" s="39"/>
      <c r="AO95" s="39"/>
      <c r="AP95" s="39"/>
    </row>
    <row r="96" ht="15.75" customHeight="1">
      <c r="A96" s="39">
        <v>986.0</v>
      </c>
      <c r="B96" s="40" t="s">
        <v>168</v>
      </c>
      <c r="C96" s="41" t="s">
        <v>62</v>
      </c>
      <c r="D96" s="42" t="s">
        <v>180</v>
      </c>
      <c r="E96" s="43">
        <v>345707.0</v>
      </c>
      <c r="F96" s="44" t="s">
        <v>179</v>
      </c>
      <c r="G96" s="45">
        <v>7.0</v>
      </c>
      <c r="H96" s="54">
        <v>3.9151863915698706</v>
      </c>
      <c r="I96" s="47" t="s">
        <v>39</v>
      </c>
      <c r="J96" s="39" t="str">
        <f t="shared" si="2"/>
        <v>069615DC - MARA 25</v>
      </c>
      <c r="K96" s="47">
        <f t="shared" si="3"/>
        <v>7.28175</v>
      </c>
      <c r="L96" s="48">
        <v>3.99</v>
      </c>
      <c r="M96" s="49">
        <f t="shared" si="4"/>
        <v>7.28175</v>
      </c>
      <c r="N96" s="39" t="s">
        <v>40</v>
      </c>
      <c r="O96" s="39" t="s">
        <v>41</v>
      </c>
      <c r="P96" s="39" t="s">
        <v>170</v>
      </c>
      <c r="Q96" s="47" t="str">
        <f t="shared" si="5"/>
        <v>18*24</v>
      </c>
      <c r="R96" s="50">
        <v>1.0</v>
      </c>
      <c r="S96" s="51">
        <v>0.0</v>
      </c>
      <c r="T96" s="51">
        <v>1.0</v>
      </c>
      <c r="U96" s="51">
        <v>1.0</v>
      </c>
      <c r="V96" s="39" t="s">
        <v>43</v>
      </c>
      <c r="W96" s="47" t="str">
        <f t="shared" si="6"/>
        <v>NOIR - 18*24 - PAS DE REHAUSSE - (Largeur 25mm Profondeur 15mm)</v>
      </c>
      <c r="X96" s="50">
        <v>0.0</v>
      </c>
      <c r="Y96" s="52" t="s">
        <v>44</v>
      </c>
      <c r="Z96" s="47" t="str">
        <f t="shared" si="7"/>
        <v>MARA 25 NOIR 18*24 VERRE</v>
      </c>
      <c r="AA96" s="39" t="s">
        <v>45</v>
      </c>
      <c r="AB96" s="39" t="s">
        <v>49</v>
      </c>
      <c r="AC96" s="47" t="str">
        <f t="shared" si="8"/>
        <v>MARA 25 NOIR 18*24 VERRE</v>
      </c>
      <c r="AD96" s="39" t="s">
        <v>47</v>
      </c>
      <c r="AE96" s="39" t="str">
        <f t="shared" si="9"/>
        <v>ROMY  18*24 NOIR VERRE PAS DE REHAUSSE - CADRES CLASSIQUES - Pas de passepartout - DOS AVEC CHEVALET (Largeur 25mm Profondeur 15mm)</v>
      </c>
      <c r="AF96" s="39" t="str">
        <f t="shared" si="1"/>
        <v>ROMY  18*24 NOIR VERRE PAS DE REHAUSSE - CADRES CLASSIQUES - Pas de passepartout - DOS AVEC CHEVALET (Largeur 25mm Profondeur 15mm)</v>
      </c>
      <c r="AG96" s="53">
        <f t="shared" si="10"/>
        <v>7.047335505</v>
      </c>
      <c r="AH96" s="39"/>
      <c r="AI96" s="39"/>
      <c r="AJ96" s="39"/>
      <c r="AK96" s="39"/>
      <c r="AL96" s="39"/>
      <c r="AM96" s="39"/>
      <c r="AN96" s="39"/>
      <c r="AO96" s="39"/>
      <c r="AP96" s="39"/>
    </row>
    <row r="97" ht="15.75" customHeight="1">
      <c r="A97" s="39">
        <v>987.0</v>
      </c>
      <c r="B97" s="40" t="s">
        <v>168</v>
      </c>
      <c r="C97" s="41" t="s">
        <v>65</v>
      </c>
      <c r="D97" s="42" t="s">
        <v>181</v>
      </c>
      <c r="E97" s="43">
        <v>345707.0</v>
      </c>
      <c r="F97" s="44" t="s">
        <v>181</v>
      </c>
      <c r="G97" s="45">
        <v>4.0</v>
      </c>
      <c r="H97" s="54">
        <v>4.80539433490695</v>
      </c>
      <c r="I97" s="47" t="s">
        <v>39</v>
      </c>
      <c r="J97" s="39" t="str">
        <f t="shared" si="2"/>
        <v>069616 - MARA 25</v>
      </c>
      <c r="K97" s="47">
        <f t="shared" si="3"/>
        <v>8.9425</v>
      </c>
      <c r="L97" s="48">
        <v>4.9</v>
      </c>
      <c r="M97" s="49">
        <f t="shared" si="4"/>
        <v>8.9425</v>
      </c>
      <c r="N97" s="39" t="s">
        <v>40</v>
      </c>
      <c r="O97" s="39" t="s">
        <v>41</v>
      </c>
      <c r="P97" s="39" t="s">
        <v>170</v>
      </c>
      <c r="Q97" s="47" t="str">
        <f t="shared" si="5"/>
        <v>18*35</v>
      </c>
      <c r="R97" s="50">
        <v>1.0</v>
      </c>
      <c r="S97" s="51">
        <v>0.0</v>
      </c>
      <c r="T97" s="51">
        <v>0.0</v>
      </c>
      <c r="U97" s="51">
        <v>0.0</v>
      </c>
      <c r="V97" s="39" t="s">
        <v>43</v>
      </c>
      <c r="W97" s="47" t="str">
        <f t="shared" si="6"/>
        <v>NOIR - 18*35 - PAS DE REHAUSSE - (Largeur 25mm Profondeur 15mm)</v>
      </c>
      <c r="X97" s="50">
        <v>0.0</v>
      </c>
      <c r="Y97" s="52" t="s">
        <v>44</v>
      </c>
      <c r="Z97" s="47" t="str">
        <f t="shared" si="7"/>
        <v>MARA 25 NOIR 18*35 VERRE</v>
      </c>
      <c r="AA97" s="39" t="s">
        <v>45</v>
      </c>
      <c r="AB97" s="39" t="s">
        <v>46</v>
      </c>
      <c r="AC97" s="47" t="str">
        <f t="shared" si="8"/>
        <v>MARA 25 NOIR 18*35 VERRE</v>
      </c>
      <c r="AD97" s="39" t="s">
        <v>47</v>
      </c>
      <c r="AE97" s="39" t="str">
        <f t="shared" si="9"/>
        <v>ROMY  18*35 NOIR VERRE PAS DE REHAUSSE - CADRES CLASSIQUES - Pas de passepartout - Dos classique sans chevalet (Largeur 25mm Profondeur 15mm)</v>
      </c>
      <c r="AF97" s="39" t="str">
        <f t="shared" si="1"/>
        <v>ROMY  18*35 NOIR VERRE PAS DE REHAUSSE - CADRES CLASSIQUES - Pas de passepartout - Dos classique sans chevalet (Largeur 25mm Profondeur 15mm)</v>
      </c>
      <c r="AG97" s="53">
        <f t="shared" si="10"/>
        <v>8.649709803</v>
      </c>
      <c r="AH97" s="39"/>
      <c r="AI97" s="39"/>
      <c r="AJ97" s="39"/>
      <c r="AK97" s="39"/>
      <c r="AL97" s="39"/>
      <c r="AM97" s="39"/>
      <c r="AN97" s="39"/>
      <c r="AO97" s="39"/>
      <c r="AP97" s="39"/>
    </row>
    <row r="98" ht="15.75" customHeight="1">
      <c r="A98" s="39">
        <v>988.0</v>
      </c>
      <c r="B98" s="40" t="s">
        <v>168</v>
      </c>
      <c r="C98" s="41" t="s">
        <v>67</v>
      </c>
      <c r="D98" s="42" t="s">
        <v>182</v>
      </c>
      <c r="E98" s="43">
        <v>345707.0</v>
      </c>
      <c r="F98" s="44" t="s">
        <v>182</v>
      </c>
      <c r="G98" s="45">
        <v>1.0</v>
      </c>
      <c r="H98" s="54">
        <v>3.758175605447312</v>
      </c>
      <c r="I98" s="47" t="s">
        <v>39</v>
      </c>
      <c r="J98" s="39" t="str">
        <f t="shared" si="2"/>
        <v>069617 - MARA 25</v>
      </c>
      <c r="K98" s="47">
        <f t="shared" si="3"/>
        <v>6.98975</v>
      </c>
      <c r="L98" s="48">
        <v>3.83</v>
      </c>
      <c r="M98" s="49">
        <f t="shared" si="4"/>
        <v>6.98975</v>
      </c>
      <c r="N98" s="39" t="s">
        <v>40</v>
      </c>
      <c r="O98" s="39" t="s">
        <v>41</v>
      </c>
      <c r="P98" s="39" t="s">
        <v>170</v>
      </c>
      <c r="Q98" s="47" t="str">
        <f t="shared" si="5"/>
        <v>20*20</v>
      </c>
      <c r="R98" s="50">
        <v>1.0</v>
      </c>
      <c r="S98" s="51">
        <v>0.0</v>
      </c>
      <c r="T98" s="51">
        <v>0.0</v>
      </c>
      <c r="U98" s="51">
        <v>0.0</v>
      </c>
      <c r="V98" s="39" t="s">
        <v>43</v>
      </c>
      <c r="W98" s="47" t="str">
        <f t="shared" si="6"/>
        <v>NOIR - 20*20 - PAS DE REHAUSSE - (Largeur 25mm Profondeur 15mm)</v>
      </c>
      <c r="X98" s="50">
        <v>0.0</v>
      </c>
      <c r="Y98" s="52" t="s">
        <v>44</v>
      </c>
      <c r="Z98" s="47" t="str">
        <f t="shared" si="7"/>
        <v>MARA 25 NOIR 20*20 VERRE</v>
      </c>
      <c r="AA98" s="39" t="s">
        <v>45</v>
      </c>
      <c r="AB98" s="39" t="s">
        <v>46</v>
      </c>
      <c r="AC98" s="47" t="str">
        <f t="shared" si="8"/>
        <v>MARA 25 NOIR 20*20 VERRE</v>
      </c>
      <c r="AD98" s="39" t="s">
        <v>47</v>
      </c>
      <c r="AE98" s="39" t="str">
        <f t="shared" si="9"/>
        <v>ROMY  20*20 NOIR VERRE PAS DE REHAUSSE - CADRES CLASSIQUES - Pas de passepartout - Dos classique sans chevalet (Largeur 25mm Profondeur 15mm)</v>
      </c>
      <c r="AF98" s="39" t="str">
        <f t="shared" si="1"/>
        <v>ROMY  20*20 NOIR VERRE PAS DE REHAUSSE - CADRES CLASSIQUES - Pas de passepartout - Dos classique sans chevalet (Largeur 25mm Profondeur 15mm)</v>
      </c>
      <c r="AG98" s="53">
        <f t="shared" si="10"/>
        <v>6.76471609</v>
      </c>
      <c r="AH98" s="39"/>
      <c r="AI98" s="39"/>
      <c r="AJ98" s="39"/>
      <c r="AK98" s="39"/>
      <c r="AL98" s="39"/>
      <c r="AM98" s="39"/>
      <c r="AN98" s="39"/>
      <c r="AO98" s="39"/>
      <c r="AP98" s="39"/>
    </row>
    <row r="99" ht="15.75" customHeight="1">
      <c r="A99" s="39">
        <v>989.0</v>
      </c>
      <c r="B99" s="40" t="s">
        <v>168</v>
      </c>
      <c r="C99" s="41" t="s">
        <v>69</v>
      </c>
      <c r="D99" s="42" t="s">
        <v>183</v>
      </c>
      <c r="E99" s="43">
        <v>345707.0</v>
      </c>
      <c r="F99" s="44" t="s">
        <v>183</v>
      </c>
      <c r="G99" s="45">
        <v>8.0</v>
      </c>
      <c r="H99" s="54">
        <v>4.595086309458385</v>
      </c>
      <c r="I99" s="47" t="s">
        <v>39</v>
      </c>
      <c r="J99" s="39" t="str">
        <f t="shared" si="2"/>
        <v>069618 - MARA 25</v>
      </c>
      <c r="K99" s="47">
        <f t="shared" si="3"/>
        <v>8.541</v>
      </c>
      <c r="L99" s="48">
        <v>4.68</v>
      </c>
      <c r="M99" s="49">
        <f t="shared" si="4"/>
        <v>8.541</v>
      </c>
      <c r="N99" s="39" t="s">
        <v>40</v>
      </c>
      <c r="O99" s="39" t="s">
        <v>41</v>
      </c>
      <c r="P99" s="39" t="s">
        <v>170</v>
      </c>
      <c r="Q99" s="47" t="str">
        <f t="shared" si="5"/>
        <v>20*30</v>
      </c>
      <c r="R99" s="50">
        <v>1.0</v>
      </c>
      <c r="S99" s="51">
        <v>0.0</v>
      </c>
      <c r="T99" s="51">
        <v>1.0</v>
      </c>
      <c r="U99" s="51">
        <v>0.0</v>
      </c>
      <c r="V99" s="39" t="s">
        <v>43</v>
      </c>
      <c r="W99" s="47" t="str">
        <f t="shared" si="6"/>
        <v>NOIR - 20*30 - PAS DE REHAUSSE - (Largeur 25mm Profondeur 15mm)</v>
      </c>
      <c r="X99" s="50">
        <v>0.0</v>
      </c>
      <c r="Y99" s="52" t="s">
        <v>44</v>
      </c>
      <c r="Z99" s="47" t="str">
        <f t="shared" si="7"/>
        <v>MARA 25 NOIR 20*30 VERRE</v>
      </c>
      <c r="AA99" s="39" t="s">
        <v>45</v>
      </c>
      <c r="AB99" s="39" t="s">
        <v>46</v>
      </c>
      <c r="AC99" s="47" t="str">
        <f t="shared" si="8"/>
        <v>MARA 25 NOIR 20*30 VERRE</v>
      </c>
      <c r="AD99" s="39" t="s">
        <v>47</v>
      </c>
      <c r="AE99" s="39" t="str">
        <f t="shared" si="9"/>
        <v>ROMY  20*30 NOIR VERRE PAS DE REHAUSSE - CADRES CLASSIQUES - Pas de passepartout - Dos classique sans chevalet (Largeur 25mm Profondeur 15mm)</v>
      </c>
      <c r="AF99" s="39" t="str">
        <f t="shared" si="1"/>
        <v>ROMY  20*30 NOIR VERRE PAS DE REHAUSSE - CADRES CLASSIQUES - Pas de passepartout - Dos classique sans chevalet (Largeur 25mm Profondeur 15mm)</v>
      </c>
      <c r="AG99" s="53">
        <f t="shared" si="10"/>
        <v>8.271155357</v>
      </c>
      <c r="AH99" s="39"/>
      <c r="AI99" s="39"/>
      <c r="AJ99" s="39"/>
      <c r="AK99" s="39"/>
      <c r="AL99" s="39"/>
      <c r="AM99" s="39"/>
      <c r="AN99" s="39"/>
      <c r="AO99" s="39"/>
      <c r="AP99" s="39"/>
    </row>
    <row r="100" ht="15.75" customHeight="1">
      <c r="A100" s="39">
        <v>989.0</v>
      </c>
      <c r="B100" s="40" t="s">
        <v>168</v>
      </c>
      <c r="C100" s="41" t="s">
        <v>69</v>
      </c>
      <c r="D100" s="42" t="s">
        <v>184</v>
      </c>
      <c r="E100" s="43">
        <v>345707.0</v>
      </c>
      <c r="F100" s="44" t="s">
        <v>183</v>
      </c>
      <c r="G100" s="45">
        <v>8.0</v>
      </c>
      <c r="H100" s="54">
        <v>4.595086309458385</v>
      </c>
      <c r="I100" s="47" t="s">
        <v>39</v>
      </c>
      <c r="J100" s="39" t="str">
        <f t="shared" si="2"/>
        <v>069618DC - MARA 25</v>
      </c>
      <c r="K100" s="47">
        <f t="shared" si="3"/>
        <v>8.541</v>
      </c>
      <c r="L100" s="48">
        <v>4.68</v>
      </c>
      <c r="M100" s="49">
        <f t="shared" si="4"/>
        <v>8.541</v>
      </c>
      <c r="N100" s="39" t="s">
        <v>40</v>
      </c>
      <c r="O100" s="39" t="s">
        <v>41</v>
      </c>
      <c r="P100" s="39" t="s">
        <v>170</v>
      </c>
      <c r="Q100" s="47" t="str">
        <f t="shared" si="5"/>
        <v>20*30</v>
      </c>
      <c r="R100" s="50">
        <v>1.0</v>
      </c>
      <c r="S100" s="51">
        <v>0.0</v>
      </c>
      <c r="T100" s="51">
        <v>1.0</v>
      </c>
      <c r="U100" s="51">
        <v>1.0</v>
      </c>
      <c r="V100" s="39" t="s">
        <v>43</v>
      </c>
      <c r="W100" s="47" t="str">
        <f t="shared" si="6"/>
        <v>NOIR - 20*30 - PAS DE REHAUSSE - (Largeur 25mm Profondeur 15mm)</v>
      </c>
      <c r="X100" s="50">
        <v>0.0</v>
      </c>
      <c r="Y100" s="52" t="s">
        <v>44</v>
      </c>
      <c r="Z100" s="47" t="str">
        <f t="shared" si="7"/>
        <v>MARA 25 NOIR 20*30 VERRE</v>
      </c>
      <c r="AA100" s="39" t="s">
        <v>45</v>
      </c>
      <c r="AB100" s="39" t="s">
        <v>49</v>
      </c>
      <c r="AC100" s="47" t="str">
        <f t="shared" si="8"/>
        <v>MARA 25 NOIR 20*30 VERRE</v>
      </c>
      <c r="AD100" s="39" t="s">
        <v>47</v>
      </c>
      <c r="AE100" s="39" t="str">
        <f t="shared" si="9"/>
        <v>ROMY  20*30 NOIR VERRE PAS DE REHAUSSE - CADRES CLASSIQUES - Pas de passepartout - DOS AVEC CHEVALET (Largeur 25mm Profondeur 15mm)</v>
      </c>
      <c r="AF100" s="39" t="str">
        <f t="shared" si="1"/>
        <v>ROMY  20*30 NOIR VERRE PAS DE REHAUSSE - CADRES CLASSIQUES - Pas de passepartout - DOS AVEC CHEVALET (Largeur 25mm Profondeur 15mm)</v>
      </c>
      <c r="AG100" s="53">
        <f t="shared" si="10"/>
        <v>8.271155357</v>
      </c>
      <c r="AH100" s="39"/>
      <c r="AI100" s="39"/>
      <c r="AJ100" s="39"/>
      <c r="AK100" s="39"/>
      <c r="AL100" s="39"/>
      <c r="AM100" s="39"/>
      <c r="AN100" s="39"/>
      <c r="AO100" s="39"/>
      <c r="AP100" s="39"/>
    </row>
    <row r="101" ht="15.75" customHeight="1">
      <c r="A101" s="39">
        <v>990.0</v>
      </c>
      <c r="B101" s="40" t="s">
        <v>168</v>
      </c>
      <c r="C101" s="41" t="s">
        <v>72</v>
      </c>
      <c r="D101" s="42" t="s">
        <v>185</v>
      </c>
      <c r="E101" s="43">
        <v>345707.0</v>
      </c>
      <c r="F101" s="44" t="s">
        <v>185</v>
      </c>
      <c r="G101" s="45">
        <v>5.0</v>
      </c>
      <c r="H101" s="54">
        <v>6.261705387841882</v>
      </c>
      <c r="I101" s="47" t="s">
        <v>39</v>
      </c>
      <c r="J101" s="39" t="str">
        <f t="shared" si="2"/>
        <v>069619 - MARA 25</v>
      </c>
      <c r="K101" s="47">
        <f t="shared" si="3"/>
        <v>11.6435</v>
      </c>
      <c r="L101" s="48">
        <v>6.38</v>
      </c>
      <c r="M101" s="49">
        <f t="shared" si="4"/>
        <v>11.6435</v>
      </c>
      <c r="N101" s="39" t="s">
        <v>40</v>
      </c>
      <c r="O101" s="39" t="s">
        <v>41</v>
      </c>
      <c r="P101" s="39" t="s">
        <v>170</v>
      </c>
      <c r="Q101" s="47" t="str">
        <f t="shared" si="5"/>
        <v>20*50</v>
      </c>
      <c r="R101" s="50">
        <v>1.0</v>
      </c>
      <c r="S101" s="51">
        <v>0.0</v>
      </c>
      <c r="T101" s="51">
        <v>0.0</v>
      </c>
      <c r="U101" s="51">
        <v>0.0</v>
      </c>
      <c r="V101" s="39" t="s">
        <v>43</v>
      </c>
      <c r="W101" s="47" t="str">
        <f t="shared" si="6"/>
        <v>NOIR - 20*50 - PAS DE REHAUSSE - (Largeur 25mm Profondeur 15mm)</v>
      </c>
      <c r="X101" s="50">
        <v>0.0</v>
      </c>
      <c r="Y101" s="52" t="s">
        <v>44</v>
      </c>
      <c r="Z101" s="47" t="str">
        <f t="shared" si="7"/>
        <v>MARA 25 NOIR 20*50 VERRE</v>
      </c>
      <c r="AA101" s="39" t="s">
        <v>45</v>
      </c>
      <c r="AB101" s="39" t="s">
        <v>46</v>
      </c>
      <c r="AC101" s="47" t="str">
        <f t="shared" si="8"/>
        <v>MARA 25 NOIR 20*50 VERRE</v>
      </c>
      <c r="AD101" s="39" t="s">
        <v>47</v>
      </c>
      <c r="AE101" s="39" t="str">
        <f t="shared" si="9"/>
        <v>ROMY  20*50 NOIR VERRE PAS DE REHAUSSE - CADRES CLASSIQUES - Pas de passepartout - Dos classique sans chevalet (Largeur 25mm Profondeur 15mm)</v>
      </c>
      <c r="AF101" s="39" t="str">
        <f t="shared" si="1"/>
        <v>ROMY  20*50 NOIR VERRE PAS DE REHAUSSE - CADRES CLASSIQUES - Pas de passepartout - Dos classique sans chevalet (Largeur 25mm Profondeur 15mm)</v>
      </c>
      <c r="AG101" s="53">
        <f t="shared" si="10"/>
        <v>11.2710697</v>
      </c>
      <c r="AH101" s="39"/>
      <c r="AI101" s="39"/>
      <c r="AJ101" s="39"/>
      <c r="AK101" s="39"/>
      <c r="AL101" s="39"/>
      <c r="AM101" s="39"/>
      <c r="AN101" s="39"/>
      <c r="AO101" s="39"/>
      <c r="AP101" s="39"/>
    </row>
    <row r="102" ht="15.75" customHeight="1">
      <c r="A102" s="39">
        <v>991.0</v>
      </c>
      <c r="B102" s="40" t="s">
        <v>168</v>
      </c>
      <c r="C102" s="41" t="s">
        <v>74</v>
      </c>
      <c r="D102" s="42" t="s">
        <v>186</v>
      </c>
      <c r="E102" s="43">
        <v>345707.0</v>
      </c>
      <c r="F102" s="44" t="s">
        <v>186</v>
      </c>
      <c r="G102" s="45">
        <v>1.0</v>
      </c>
      <c r="H102" s="54">
        <v>7.108699353347062</v>
      </c>
      <c r="I102" s="47" t="s">
        <v>39</v>
      </c>
      <c r="J102" s="39" t="str">
        <f t="shared" si="2"/>
        <v>069620 - MARA 25</v>
      </c>
      <c r="K102" s="47">
        <f t="shared" si="3"/>
        <v>13.213</v>
      </c>
      <c r="L102" s="48">
        <v>7.24</v>
      </c>
      <c r="M102" s="49">
        <f t="shared" si="4"/>
        <v>13.213</v>
      </c>
      <c r="N102" s="39" t="s">
        <v>40</v>
      </c>
      <c r="O102" s="39" t="s">
        <v>41</v>
      </c>
      <c r="P102" s="39" t="s">
        <v>170</v>
      </c>
      <c r="Q102" s="47" t="str">
        <f t="shared" si="5"/>
        <v>20*60</v>
      </c>
      <c r="R102" s="50">
        <v>1.0</v>
      </c>
      <c r="S102" s="51">
        <v>0.0</v>
      </c>
      <c r="T102" s="51">
        <v>0.0</v>
      </c>
      <c r="U102" s="51">
        <v>0.0</v>
      </c>
      <c r="V102" s="39" t="s">
        <v>43</v>
      </c>
      <c r="W102" s="47" t="str">
        <f t="shared" si="6"/>
        <v>NOIR - 20*60 - PAS DE REHAUSSE - (Largeur 25mm Profondeur 15mm)</v>
      </c>
      <c r="X102" s="50">
        <v>0.0</v>
      </c>
      <c r="Y102" s="52" t="s">
        <v>44</v>
      </c>
      <c r="Z102" s="47" t="str">
        <f t="shared" si="7"/>
        <v>MARA 25 NOIR 20*60 VERRE</v>
      </c>
      <c r="AA102" s="39" t="s">
        <v>45</v>
      </c>
      <c r="AB102" s="39" t="s">
        <v>46</v>
      </c>
      <c r="AC102" s="47" t="str">
        <f t="shared" si="8"/>
        <v>MARA 25 NOIR 20*60 VERRE</v>
      </c>
      <c r="AD102" s="39" t="s">
        <v>47</v>
      </c>
      <c r="AE102" s="39" t="str">
        <f t="shared" si="9"/>
        <v>ROMY  20*60 NOIR VERRE PAS DE REHAUSSE - CADRES CLASSIQUES - Pas de passepartout - Dos classique sans chevalet (Largeur 25mm Profondeur 15mm)</v>
      </c>
      <c r="AF102" s="39" t="str">
        <f t="shared" si="1"/>
        <v>ROMY  20*60 NOIR VERRE PAS DE REHAUSSE - CADRES CLASSIQUES - Pas de passepartout - Dos classique sans chevalet (Largeur 25mm Profondeur 15mm)</v>
      </c>
      <c r="AG102" s="53">
        <f t="shared" si="10"/>
        <v>12.79565884</v>
      </c>
      <c r="AH102" s="39"/>
      <c r="AI102" s="39"/>
      <c r="AJ102" s="39"/>
      <c r="AK102" s="39"/>
      <c r="AL102" s="39"/>
      <c r="AM102" s="39"/>
      <c r="AN102" s="39"/>
      <c r="AO102" s="39"/>
      <c r="AP102" s="39"/>
    </row>
    <row r="103" ht="15.75" customHeight="1">
      <c r="A103" s="39">
        <v>992.0</v>
      </c>
      <c r="B103" s="40" t="s">
        <v>168</v>
      </c>
      <c r="C103" s="41" t="s">
        <v>76</v>
      </c>
      <c r="D103" s="42" t="s">
        <v>187</v>
      </c>
      <c r="E103" s="43">
        <v>345707.0</v>
      </c>
      <c r="F103" s="44" t="s">
        <v>187</v>
      </c>
      <c r="G103" s="45">
        <v>8.0</v>
      </c>
      <c r="H103" s="54">
        <v>4.694478458471748</v>
      </c>
      <c r="I103" s="47" t="s">
        <v>39</v>
      </c>
      <c r="J103" s="39" t="str">
        <f t="shared" si="2"/>
        <v>069621 - MARA 25</v>
      </c>
      <c r="K103" s="47">
        <f t="shared" si="3"/>
        <v>8.7235</v>
      </c>
      <c r="L103" s="48">
        <v>4.78</v>
      </c>
      <c r="M103" s="49">
        <f t="shared" si="4"/>
        <v>8.7235</v>
      </c>
      <c r="N103" s="39" t="s">
        <v>40</v>
      </c>
      <c r="O103" s="39" t="s">
        <v>41</v>
      </c>
      <c r="P103" s="39" t="s">
        <v>170</v>
      </c>
      <c r="Q103" s="47" t="str">
        <f t="shared" si="5"/>
        <v>21*29,7</v>
      </c>
      <c r="R103" s="50">
        <v>1.0</v>
      </c>
      <c r="S103" s="51">
        <v>0.0</v>
      </c>
      <c r="T103" s="51">
        <v>0.0</v>
      </c>
      <c r="U103" s="51">
        <v>0.0</v>
      </c>
      <c r="V103" s="39" t="s">
        <v>43</v>
      </c>
      <c r="W103" s="47" t="str">
        <f t="shared" si="6"/>
        <v>NOIR - 21*29,7 - PAS DE REHAUSSE - (Largeur 25mm Profondeur 15mm)</v>
      </c>
      <c r="X103" s="50">
        <v>0.0</v>
      </c>
      <c r="Y103" s="52" t="s">
        <v>44</v>
      </c>
      <c r="Z103" s="47" t="str">
        <f t="shared" si="7"/>
        <v>MARA 25 NOIR 21*29,7 VERRE</v>
      </c>
      <c r="AA103" s="39" t="s">
        <v>45</v>
      </c>
      <c r="AB103" s="39" t="s">
        <v>46</v>
      </c>
      <c r="AC103" s="47" t="str">
        <f t="shared" si="8"/>
        <v>MARA 25 NOIR 21*29,7 VERRE</v>
      </c>
      <c r="AD103" s="39" t="s">
        <v>47</v>
      </c>
      <c r="AE103" s="39" t="str">
        <f t="shared" si="9"/>
        <v>ROMY  21*29,7 NOIR VERRE PAS DE REHAUSSE - CADRES CLASSIQUES - Pas de passepartout - Dos classique sans chevalet (Largeur 25mm Profondeur 15mm)</v>
      </c>
      <c r="AF103" s="39" t="str">
        <f t="shared" si="1"/>
        <v>ROMY  21*29,7 NOIR VERRE PAS DE REHAUSSE - CADRES CLASSIQUES - Pas de passepartout - Dos classique sans chevalet (Largeur 25mm Profondeur 15mm)</v>
      </c>
      <c r="AG103" s="53">
        <f t="shared" si="10"/>
        <v>8.450061225</v>
      </c>
      <c r="AH103" s="39"/>
      <c r="AI103" s="39"/>
      <c r="AJ103" s="39"/>
      <c r="AK103" s="39"/>
      <c r="AL103" s="39"/>
      <c r="AM103" s="39"/>
      <c r="AN103" s="39"/>
      <c r="AO103" s="39"/>
      <c r="AP103" s="39"/>
    </row>
    <row r="104" ht="15.75" customHeight="1">
      <c r="A104" s="39">
        <v>993.0</v>
      </c>
      <c r="B104" s="40" t="s">
        <v>168</v>
      </c>
      <c r="C104" s="41" t="s">
        <v>78</v>
      </c>
      <c r="D104" s="42" t="s">
        <v>188</v>
      </c>
      <c r="E104" s="43">
        <v>345707.0</v>
      </c>
      <c r="F104" s="44" t="s">
        <v>188</v>
      </c>
      <c r="G104" s="45">
        <v>5.0</v>
      </c>
      <c r="H104" s="54">
        <v>6.641988392762575</v>
      </c>
      <c r="I104" s="47" t="s">
        <v>39</v>
      </c>
      <c r="J104" s="39" t="str">
        <f t="shared" si="2"/>
        <v>069622 - MARA 25</v>
      </c>
      <c r="K104" s="47">
        <f t="shared" si="3"/>
        <v>12.35525</v>
      </c>
      <c r="L104" s="48">
        <v>6.77</v>
      </c>
      <c r="M104" s="49">
        <f t="shared" si="4"/>
        <v>12.35525</v>
      </c>
      <c r="N104" s="39" t="s">
        <v>40</v>
      </c>
      <c r="O104" s="39" t="s">
        <v>41</v>
      </c>
      <c r="P104" s="39" t="s">
        <v>170</v>
      </c>
      <c r="Q104" s="47" t="str">
        <f t="shared" si="5"/>
        <v>23*50</v>
      </c>
      <c r="R104" s="50">
        <v>1.0</v>
      </c>
      <c r="S104" s="51">
        <v>0.0</v>
      </c>
      <c r="T104" s="51">
        <v>0.0</v>
      </c>
      <c r="U104" s="51">
        <v>0.0</v>
      </c>
      <c r="V104" s="39" t="s">
        <v>43</v>
      </c>
      <c r="W104" s="47" t="str">
        <f t="shared" si="6"/>
        <v>NOIR - 23*50 - PAS DE REHAUSSE - (Largeur 25mm Profondeur 15mm)</v>
      </c>
      <c r="X104" s="50">
        <v>0.0</v>
      </c>
      <c r="Y104" s="52" t="s">
        <v>44</v>
      </c>
      <c r="Z104" s="47" t="str">
        <f t="shared" si="7"/>
        <v>MARA 25 NOIR 23*50 VERRE</v>
      </c>
      <c r="AA104" s="39" t="s">
        <v>45</v>
      </c>
      <c r="AB104" s="39" t="s">
        <v>46</v>
      </c>
      <c r="AC104" s="47" t="str">
        <f t="shared" si="8"/>
        <v>MARA 25 NOIR 23*50 VERRE</v>
      </c>
      <c r="AD104" s="39" t="s">
        <v>47</v>
      </c>
      <c r="AE104" s="39" t="str">
        <f t="shared" si="9"/>
        <v>ROMY  23*50 NOIR VERRE PAS DE REHAUSSE - CADRES CLASSIQUES - Pas de passepartout - Dos classique sans chevalet (Largeur 25mm Profondeur 15mm)</v>
      </c>
      <c r="AF104" s="39" t="str">
        <f t="shared" si="1"/>
        <v>ROMY  23*50 NOIR VERRE PAS DE REHAUSSE - CADRES CLASSIQUES - Pas de passepartout - Dos classique sans chevalet (Largeur 25mm Profondeur 15mm)</v>
      </c>
      <c r="AG104" s="53">
        <f t="shared" si="10"/>
        <v>11.95557911</v>
      </c>
      <c r="AH104" s="39"/>
      <c r="AI104" s="39"/>
      <c r="AJ104" s="39"/>
      <c r="AK104" s="39"/>
      <c r="AL104" s="39"/>
      <c r="AM104" s="39"/>
      <c r="AN104" s="39"/>
      <c r="AO104" s="39"/>
      <c r="AP104" s="39"/>
    </row>
    <row r="105" ht="15.75" customHeight="1">
      <c r="A105" s="39">
        <v>994.0</v>
      </c>
      <c r="B105" s="40" t="s">
        <v>168</v>
      </c>
      <c r="C105" s="41" t="s">
        <v>80</v>
      </c>
      <c r="D105" s="42" t="s">
        <v>189</v>
      </c>
      <c r="E105" s="43">
        <v>345707.0</v>
      </c>
      <c r="F105" s="44" t="s">
        <v>189</v>
      </c>
      <c r="G105" s="45">
        <v>2.0</v>
      </c>
      <c r="H105" s="54">
        <v>4.9768097803068105</v>
      </c>
      <c r="I105" s="47" t="s">
        <v>39</v>
      </c>
      <c r="J105" s="39" t="str">
        <f t="shared" si="2"/>
        <v>069623 - MARA 25</v>
      </c>
      <c r="K105" s="47">
        <f t="shared" si="3"/>
        <v>9.25275</v>
      </c>
      <c r="L105" s="48">
        <v>5.07</v>
      </c>
      <c r="M105" s="49">
        <f t="shared" si="4"/>
        <v>9.25275</v>
      </c>
      <c r="N105" s="39" t="s">
        <v>40</v>
      </c>
      <c r="O105" s="39" t="s">
        <v>41</v>
      </c>
      <c r="P105" s="39" t="s">
        <v>170</v>
      </c>
      <c r="Q105" s="47" t="str">
        <f t="shared" si="5"/>
        <v>24*30</v>
      </c>
      <c r="R105" s="50">
        <v>1.0</v>
      </c>
      <c r="S105" s="51">
        <v>0.0</v>
      </c>
      <c r="T105" s="51">
        <v>0.0</v>
      </c>
      <c r="U105" s="51">
        <v>0.0</v>
      </c>
      <c r="V105" s="39" t="s">
        <v>43</v>
      </c>
      <c r="W105" s="47" t="str">
        <f t="shared" si="6"/>
        <v>NOIR - 24*30 - PAS DE REHAUSSE - (Largeur 25mm Profondeur 15mm)</v>
      </c>
      <c r="X105" s="50">
        <v>0.0</v>
      </c>
      <c r="Y105" s="52" t="s">
        <v>44</v>
      </c>
      <c r="Z105" s="47" t="str">
        <f t="shared" si="7"/>
        <v>MARA 25 NOIR 24*30 VERRE</v>
      </c>
      <c r="AA105" s="39" t="s">
        <v>45</v>
      </c>
      <c r="AB105" s="39" t="s">
        <v>46</v>
      </c>
      <c r="AC105" s="47" t="str">
        <f t="shared" si="8"/>
        <v>MARA 25 NOIR 24*30 VERRE</v>
      </c>
      <c r="AD105" s="39" t="s">
        <v>47</v>
      </c>
      <c r="AE105" s="39" t="str">
        <f t="shared" si="9"/>
        <v>ROMY  24*30 NOIR VERRE PAS DE REHAUSSE - CADRES CLASSIQUES - Pas de passepartout - Dos classique sans chevalet (Largeur 25mm Profondeur 15mm)</v>
      </c>
      <c r="AF105" s="39" t="str">
        <f t="shared" si="1"/>
        <v>ROMY  24*30 NOIR VERRE PAS DE REHAUSSE - CADRES CLASSIQUES - Pas de passepartout - Dos classique sans chevalet (Largeur 25mm Profondeur 15mm)</v>
      </c>
      <c r="AG105" s="53">
        <f t="shared" si="10"/>
        <v>8.958257605</v>
      </c>
      <c r="AH105" s="39"/>
      <c r="AI105" s="39"/>
      <c r="AJ105" s="39"/>
      <c r="AK105" s="39"/>
      <c r="AL105" s="39"/>
      <c r="AM105" s="39"/>
      <c r="AN105" s="39"/>
      <c r="AO105" s="39"/>
      <c r="AP105" s="39"/>
    </row>
    <row r="106" ht="15.75" customHeight="1">
      <c r="A106" s="39">
        <v>995.0</v>
      </c>
      <c r="B106" s="40" t="s">
        <v>168</v>
      </c>
      <c r="C106" s="41" t="s">
        <v>82</v>
      </c>
      <c r="D106" s="42" t="s">
        <v>190</v>
      </c>
      <c r="E106" s="43">
        <v>345707.0</v>
      </c>
      <c r="F106" s="44" t="s">
        <v>190</v>
      </c>
      <c r="G106" s="45">
        <v>9.0</v>
      </c>
      <c r="H106" s="54">
        <v>6.9012722597539575</v>
      </c>
      <c r="I106" s="47" t="s">
        <v>39</v>
      </c>
      <c r="J106" s="39" t="str">
        <f t="shared" si="2"/>
        <v>069624 - MARA 25</v>
      </c>
      <c r="K106" s="47">
        <f t="shared" si="3"/>
        <v>12.82975</v>
      </c>
      <c r="L106" s="48">
        <v>7.03</v>
      </c>
      <c r="M106" s="49">
        <f t="shared" si="4"/>
        <v>12.82975</v>
      </c>
      <c r="N106" s="39" t="s">
        <v>40</v>
      </c>
      <c r="O106" s="39" t="s">
        <v>41</v>
      </c>
      <c r="P106" s="39" t="s">
        <v>170</v>
      </c>
      <c r="Q106" s="47" t="str">
        <f t="shared" si="5"/>
        <v>25*50</v>
      </c>
      <c r="R106" s="50">
        <v>1.0</v>
      </c>
      <c r="S106" s="51">
        <v>0.0</v>
      </c>
      <c r="T106" s="51">
        <v>0.0</v>
      </c>
      <c r="U106" s="51">
        <v>0.0</v>
      </c>
      <c r="V106" s="39" t="s">
        <v>43</v>
      </c>
      <c r="W106" s="47" t="str">
        <f t="shared" si="6"/>
        <v>NOIR - 25*50 - PAS DE REHAUSSE - (Largeur 25mm Profondeur 15mm)</v>
      </c>
      <c r="X106" s="50">
        <v>0.0</v>
      </c>
      <c r="Y106" s="52" t="s">
        <v>44</v>
      </c>
      <c r="Z106" s="47" t="str">
        <f t="shared" si="7"/>
        <v>MARA 25 NOIR 25*50 VERRE</v>
      </c>
      <c r="AA106" s="39" t="s">
        <v>45</v>
      </c>
      <c r="AB106" s="39" t="s">
        <v>46</v>
      </c>
      <c r="AC106" s="47" t="str">
        <f t="shared" si="8"/>
        <v>MARA 25 NOIR 25*50 VERRE</v>
      </c>
      <c r="AD106" s="39" t="s">
        <v>47</v>
      </c>
      <c r="AE106" s="39" t="str">
        <f t="shared" si="9"/>
        <v>ROMY  25*50 NOIR VERRE PAS DE REHAUSSE - CADRES CLASSIQUES - Pas de passepartout - Dos classique sans chevalet (Largeur 25mm Profondeur 15mm)</v>
      </c>
      <c r="AF106" s="39" t="str">
        <f t="shared" si="1"/>
        <v>ROMY  25*50 NOIR VERRE PAS DE REHAUSSE - CADRES CLASSIQUES - Pas de passepartout - Dos classique sans chevalet (Largeur 25mm Profondeur 15mm)</v>
      </c>
      <c r="AG106" s="53">
        <f t="shared" si="10"/>
        <v>12.42229007</v>
      </c>
      <c r="AH106" s="39"/>
      <c r="AI106" s="39"/>
      <c r="AJ106" s="39"/>
      <c r="AK106" s="39"/>
      <c r="AL106" s="39"/>
      <c r="AM106" s="39"/>
      <c r="AN106" s="39"/>
      <c r="AO106" s="39"/>
      <c r="AP106" s="39"/>
    </row>
    <row r="107" ht="15.75" customHeight="1">
      <c r="A107" s="39">
        <v>996.0</v>
      </c>
      <c r="B107" s="40" t="s">
        <v>168</v>
      </c>
      <c r="C107" s="41" t="s">
        <v>84</v>
      </c>
      <c r="D107" s="42" t="s">
        <v>191</v>
      </c>
      <c r="E107" s="43">
        <v>345707.0</v>
      </c>
      <c r="F107" s="44" t="s">
        <v>191</v>
      </c>
      <c r="G107" s="45">
        <v>6.0</v>
      </c>
      <c r="H107" s="54">
        <v>6.739940075848208</v>
      </c>
      <c r="I107" s="47" t="s">
        <v>39</v>
      </c>
      <c r="J107" s="39" t="str">
        <f t="shared" si="2"/>
        <v>069625 - MARA 25</v>
      </c>
      <c r="K107" s="47">
        <f t="shared" si="3"/>
        <v>12.53775</v>
      </c>
      <c r="L107" s="48">
        <v>6.87</v>
      </c>
      <c r="M107" s="49">
        <f t="shared" si="4"/>
        <v>12.53775</v>
      </c>
      <c r="N107" s="39" t="s">
        <v>40</v>
      </c>
      <c r="O107" s="39" t="s">
        <v>41</v>
      </c>
      <c r="P107" s="39" t="s">
        <v>170</v>
      </c>
      <c r="Q107" s="47" t="str">
        <f t="shared" si="5"/>
        <v>29,7*42</v>
      </c>
      <c r="R107" s="50">
        <v>1.0</v>
      </c>
      <c r="S107" s="51">
        <v>0.0</v>
      </c>
      <c r="T107" s="51">
        <v>0.0</v>
      </c>
      <c r="U107" s="51">
        <v>0.0</v>
      </c>
      <c r="V107" s="39" t="s">
        <v>43</v>
      </c>
      <c r="W107" s="47" t="str">
        <f t="shared" si="6"/>
        <v>NOIR - 29,7*42 - PAS DE REHAUSSE - (Largeur 25mm Profondeur 15mm)</v>
      </c>
      <c r="X107" s="50">
        <v>0.0</v>
      </c>
      <c r="Y107" s="52" t="s">
        <v>44</v>
      </c>
      <c r="Z107" s="47" t="str">
        <f t="shared" si="7"/>
        <v>MARA 25 NOIR 29,7*42 VERRE</v>
      </c>
      <c r="AA107" s="39" t="s">
        <v>45</v>
      </c>
      <c r="AB107" s="39" t="s">
        <v>46</v>
      </c>
      <c r="AC107" s="47" t="str">
        <f t="shared" si="8"/>
        <v>MARA 25 NOIR 29,7*42 VERRE</v>
      </c>
      <c r="AD107" s="39" t="s">
        <v>47</v>
      </c>
      <c r="AE107" s="39" t="str">
        <f t="shared" si="9"/>
        <v>ROMY  29,7*42 NOIR VERRE PAS DE REHAUSSE - CADRES CLASSIQUES - Pas de passepartout - Dos classique sans chevalet (Largeur 25mm Profondeur 15mm)</v>
      </c>
      <c r="AF107" s="39" t="str">
        <f t="shared" si="1"/>
        <v>ROMY  29,7*42 NOIR VERRE PAS DE REHAUSSE - CADRES CLASSIQUES - Pas de passepartout - Dos classique sans chevalet (Largeur 25mm Profondeur 15mm)</v>
      </c>
      <c r="AG107" s="53">
        <f t="shared" si="10"/>
        <v>12.13189214</v>
      </c>
      <c r="AH107" s="39"/>
      <c r="AI107" s="39"/>
      <c r="AJ107" s="39"/>
      <c r="AK107" s="39"/>
      <c r="AL107" s="39"/>
      <c r="AM107" s="39"/>
      <c r="AN107" s="39"/>
      <c r="AO107" s="39"/>
      <c r="AP107" s="39"/>
    </row>
    <row r="108" ht="15.75" customHeight="1">
      <c r="A108" s="39">
        <v>997.0</v>
      </c>
      <c r="B108" s="40" t="s">
        <v>168</v>
      </c>
      <c r="C108" s="41" t="s">
        <v>86</v>
      </c>
      <c r="D108" s="42" t="s">
        <v>192</v>
      </c>
      <c r="E108" s="43">
        <v>345707.0</v>
      </c>
      <c r="F108" s="44" t="s">
        <v>192</v>
      </c>
      <c r="G108" s="45">
        <v>3.0</v>
      </c>
      <c r="H108" s="54">
        <v>5.565960344748339</v>
      </c>
      <c r="I108" s="47" t="s">
        <v>39</v>
      </c>
      <c r="J108" s="39" t="str">
        <f t="shared" si="2"/>
        <v>069626 - MARA 25</v>
      </c>
      <c r="K108" s="47">
        <f t="shared" si="3"/>
        <v>10.34775</v>
      </c>
      <c r="L108" s="48">
        <v>5.67</v>
      </c>
      <c r="M108" s="49">
        <f t="shared" si="4"/>
        <v>10.34775</v>
      </c>
      <c r="N108" s="39" t="s">
        <v>40</v>
      </c>
      <c r="O108" s="39" t="s">
        <v>41</v>
      </c>
      <c r="P108" s="39" t="s">
        <v>170</v>
      </c>
      <c r="Q108" s="47" t="str">
        <f t="shared" si="5"/>
        <v>30*30</v>
      </c>
      <c r="R108" s="50">
        <v>1.0</v>
      </c>
      <c r="S108" s="51">
        <v>0.0</v>
      </c>
      <c r="T108" s="51">
        <v>0.0</v>
      </c>
      <c r="U108" s="51">
        <v>0.0</v>
      </c>
      <c r="V108" s="39" t="s">
        <v>43</v>
      </c>
      <c r="W108" s="47" t="str">
        <f t="shared" si="6"/>
        <v>NOIR - 30*30 - PAS DE REHAUSSE - (Largeur 25mm Profondeur 15mm)</v>
      </c>
      <c r="X108" s="50">
        <v>0.0</v>
      </c>
      <c r="Y108" s="52" t="s">
        <v>44</v>
      </c>
      <c r="Z108" s="47" t="str">
        <f t="shared" si="7"/>
        <v>MARA 25 NOIR 30*30 VERRE</v>
      </c>
      <c r="AA108" s="39" t="s">
        <v>45</v>
      </c>
      <c r="AB108" s="39" t="s">
        <v>46</v>
      </c>
      <c r="AC108" s="47" t="str">
        <f t="shared" si="8"/>
        <v>MARA 25 NOIR 30*30 VERRE</v>
      </c>
      <c r="AD108" s="39" t="s">
        <v>47</v>
      </c>
      <c r="AE108" s="39" t="str">
        <f t="shared" si="9"/>
        <v>ROMY  30*30 NOIR VERRE PAS DE REHAUSSE - CADRES CLASSIQUES - Pas de passepartout - Dos classique sans chevalet (Largeur 25mm Profondeur 15mm)</v>
      </c>
      <c r="AF108" s="39" t="str">
        <f t="shared" si="1"/>
        <v>ROMY  30*30 NOIR VERRE PAS DE REHAUSSE - CADRES CLASSIQUES - Pas de passepartout - Dos classique sans chevalet (Largeur 25mm Profondeur 15mm)</v>
      </c>
      <c r="AG108" s="53">
        <f t="shared" si="10"/>
        <v>10.01872862</v>
      </c>
      <c r="AH108" s="39"/>
      <c r="AI108" s="39"/>
      <c r="AJ108" s="39"/>
      <c r="AK108" s="39"/>
      <c r="AL108" s="39"/>
      <c r="AM108" s="39"/>
      <c r="AN108" s="39"/>
      <c r="AO108" s="39"/>
      <c r="AP108" s="39"/>
    </row>
    <row r="109" ht="15.75" customHeight="1">
      <c r="A109" s="39">
        <v>998.0</v>
      </c>
      <c r="B109" s="40" t="s">
        <v>168</v>
      </c>
      <c r="C109" s="41" t="s">
        <v>88</v>
      </c>
      <c r="D109" s="42" t="s">
        <v>193</v>
      </c>
      <c r="E109" s="43">
        <v>345707.0</v>
      </c>
      <c r="F109" s="44" t="s">
        <v>193</v>
      </c>
      <c r="G109" s="45">
        <v>0.0</v>
      </c>
      <c r="H109" s="54">
        <v>6.557000903026507</v>
      </c>
      <c r="I109" s="47" t="s">
        <v>39</v>
      </c>
      <c r="J109" s="39" t="str">
        <f t="shared" si="2"/>
        <v>069627 - MARA 25</v>
      </c>
      <c r="K109" s="47">
        <f t="shared" si="3"/>
        <v>12.191</v>
      </c>
      <c r="L109" s="48">
        <v>6.68</v>
      </c>
      <c r="M109" s="49">
        <f t="shared" si="4"/>
        <v>12.191</v>
      </c>
      <c r="N109" s="39" t="s">
        <v>40</v>
      </c>
      <c r="O109" s="39" t="s">
        <v>41</v>
      </c>
      <c r="P109" s="39" t="s">
        <v>170</v>
      </c>
      <c r="Q109" s="47" t="str">
        <f t="shared" si="5"/>
        <v>30*40</v>
      </c>
      <c r="R109" s="50">
        <v>1.0</v>
      </c>
      <c r="S109" s="51">
        <v>0.0</v>
      </c>
      <c r="T109" s="51">
        <v>0.0</v>
      </c>
      <c r="U109" s="51">
        <v>0.0</v>
      </c>
      <c r="V109" s="39" t="s">
        <v>43</v>
      </c>
      <c r="W109" s="47" t="str">
        <f t="shared" si="6"/>
        <v>NOIR - 30*40 - PAS DE REHAUSSE - (Largeur 25mm Profondeur 15mm)</v>
      </c>
      <c r="X109" s="50">
        <v>0.0</v>
      </c>
      <c r="Y109" s="52" t="s">
        <v>44</v>
      </c>
      <c r="Z109" s="47" t="str">
        <f t="shared" si="7"/>
        <v>MARA 25 NOIR 30*40 VERRE</v>
      </c>
      <c r="AA109" s="39" t="s">
        <v>45</v>
      </c>
      <c r="AB109" s="39" t="s">
        <v>46</v>
      </c>
      <c r="AC109" s="47" t="str">
        <f t="shared" si="8"/>
        <v>MARA 25 NOIR 30*40 VERRE</v>
      </c>
      <c r="AD109" s="39" t="s">
        <v>47</v>
      </c>
      <c r="AE109" s="39" t="str">
        <f t="shared" si="9"/>
        <v>ROMY  30*40 NOIR VERRE PAS DE REHAUSSE - CADRES CLASSIQUES - Pas de passepartout - Dos classique sans chevalet (Largeur 25mm Profondeur 15mm)</v>
      </c>
      <c r="AF109" s="39" t="str">
        <f t="shared" si="1"/>
        <v>ROMY  30*40 NOIR VERRE PAS DE REHAUSSE - CADRES CLASSIQUES - Pas de passepartout - Dos classique sans chevalet (Largeur 25mm Profondeur 15mm)</v>
      </c>
      <c r="AG109" s="53">
        <f t="shared" si="10"/>
        <v>11.80260163</v>
      </c>
      <c r="AH109" s="39"/>
      <c r="AI109" s="39"/>
      <c r="AJ109" s="39"/>
      <c r="AK109" s="39"/>
      <c r="AL109" s="39"/>
      <c r="AM109" s="39"/>
      <c r="AN109" s="39"/>
      <c r="AO109" s="39"/>
      <c r="AP109" s="39"/>
    </row>
    <row r="110" ht="15.75" customHeight="1">
      <c r="A110" s="39">
        <v>999.0</v>
      </c>
      <c r="B110" s="40" t="s">
        <v>168</v>
      </c>
      <c r="C110" s="41" t="s">
        <v>90</v>
      </c>
      <c r="D110" s="42" t="s">
        <v>194</v>
      </c>
      <c r="E110" s="43">
        <v>345707.0</v>
      </c>
      <c r="F110" s="44" t="s">
        <v>194</v>
      </c>
      <c r="G110" s="45">
        <v>7.0</v>
      </c>
      <c r="H110" s="54">
        <v>7.049640250310137</v>
      </c>
      <c r="I110" s="47" t="s">
        <v>39</v>
      </c>
      <c r="J110" s="39" t="str">
        <f t="shared" si="2"/>
        <v>069628 - MARA 25</v>
      </c>
      <c r="K110" s="47">
        <f t="shared" si="3"/>
        <v>13.1035</v>
      </c>
      <c r="L110" s="48">
        <v>7.18</v>
      </c>
      <c r="M110" s="49">
        <f t="shared" si="4"/>
        <v>13.1035</v>
      </c>
      <c r="N110" s="39" t="s">
        <v>40</v>
      </c>
      <c r="O110" s="39" t="s">
        <v>41</v>
      </c>
      <c r="P110" s="39" t="s">
        <v>170</v>
      </c>
      <c r="Q110" s="47" t="str">
        <f t="shared" si="5"/>
        <v>30*45</v>
      </c>
      <c r="R110" s="50">
        <v>1.0</v>
      </c>
      <c r="S110" s="51">
        <v>0.0</v>
      </c>
      <c r="T110" s="51">
        <v>0.0</v>
      </c>
      <c r="U110" s="51">
        <v>0.0</v>
      </c>
      <c r="V110" s="39" t="s">
        <v>43</v>
      </c>
      <c r="W110" s="47" t="str">
        <f t="shared" si="6"/>
        <v>NOIR - 30*45 - PAS DE REHAUSSE - (Largeur 25mm Profondeur 15mm)</v>
      </c>
      <c r="X110" s="50">
        <v>0.0</v>
      </c>
      <c r="Y110" s="52" t="s">
        <v>44</v>
      </c>
      <c r="Z110" s="47" t="str">
        <f t="shared" si="7"/>
        <v>MARA 25 NOIR 30*45 VERRE</v>
      </c>
      <c r="AA110" s="39" t="s">
        <v>45</v>
      </c>
      <c r="AB110" s="39" t="s">
        <v>46</v>
      </c>
      <c r="AC110" s="47" t="str">
        <f t="shared" si="8"/>
        <v>MARA 25 NOIR 30*45 VERRE</v>
      </c>
      <c r="AD110" s="39" t="s">
        <v>47</v>
      </c>
      <c r="AE110" s="39" t="str">
        <f t="shared" si="9"/>
        <v>ROMY  30*45 NOIR VERRE PAS DE REHAUSSE - CADRES CLASSIQUES - Pas de passepartout - Dos classique sans chevalet (Largeur 25mm Profondeur 15mm)</v>
      </c>
      <c r="AF110" s="39" t="str">
        <f t="shared" si="1"/>
        <v>ROMY  30*45 NOIR VERRE PAS DE REHAUSSE - CADRES CLASSIQUES - Pas de passepartout - Dos classique sans chevalet (Largeur 25mm Profondeur 15mm)</v>
      </c>
      <c r="AG110" s="53">
        <f t="shared" si="10"/>
        <v>12.68935245</v>
      </c>
      <c r="AH110" s="39"/>
      <c r="AI110" s="39"/>
      <c r="AJ110" s="39"/>
      <c r="AK110" s="39"/>
      <c r="AL110" s="39"/>
      <c r="AM110" s="39"/>
      <c r="AN110" s="39"/>
      <c r="AO110" s="39"/>
      <c r="AP110" s="39"/>
    </row>
    <row r="111" ht="15.75" customHeight="1">
      <c r="A111" s="39">
        <v>1000.0</v>
      </c>
      <c r="B111" s="40" t="s">
        <v>168</v>
      </c>
      <c r="C111" s="41" t="s">
        <v>92</v>
      </c>
      <c r="D111" s="42" t="s">
        <v>195</v>
      </c>
      <c r="E111" s="43">
        <v>345707.0</v>
      </c>
      <c r="F111" s="44" t="s">
        <v>195</v>
      </c>
      <c r="G111" s="45">
        <v>4.0</v>
      </c>
      <c r="H111" s="54">
        <v>12.480196797851866</v>
      </c>
      <c r="I111" s="47" t="s">
        <v>39</v>
      </c>
      <c r="J111" s="39" t="str">
        <f t="shared" si="2"/>
        <v>069629 - MARA 25</v>
      </c>
      <c r="K111" s="47">
        <f t="shared" si="3"/>
        <v>23.214</v>
      </c>
      <c r="L111" s="48">
        <v>12.72</v>
      </c>
      <c r="M111" s="49">
        <f t="shared" si="4"/>
        <v>23.214</v>
      </c>
      <c r="N111" s="39" t="s">
        <v>40</v>
      </c>
      <c r="O111" s="39" t="s">
        <v>41</v>
      </c>
      <c r="P111" s="39" t="s">
        <v>170</v>
      </c>
      <c r="Q111" s="47" t="str">
        <f t="shared" si="5"/>
        <v>33*95</v>
      </c>
      <c r="R111" s="50">
        <v>1.0</v>
      </c>
      <c r="S111" s="51">
        <v>0.0</v>
      </c>
      <c r="T111" s="51">
        <v>0.0</v>
      </c>
      <c r="U111" s="51">
        <v>0.0</v>
      </c>
      <c r="V111" s="39" t="s">
        <v>43</v>
      </c>
      <c r="W111" s="47" t="str">
        <f t="shared" si="6"/>
        <v>NOIR - 33*95 - PAS DE REHAUSSE - (Largeur 25mm Profondeur 15mm)</v>
      </c>
      <c r="X111" s="50">
        <v>0.0</v>
      </c>
      <c r="Y111" s="52" t="s">
        <v>44</v>
      </c>
      <c r="Z111" s="47" t="str">
        <f t="shared" si="7"/>
        <v>MARA 25 NOIR 33*95 VERRE</v>
      </c>
      <c r="AA111" s="39" t="s">
        <v>45</v>
      </c>
      <c r="AB111" s="39" t="s">
        <v>46</v>
      </c>
      <c r="AC111" s="47" t="str">
        <f t="shared" si="8"/>
        <v>MARA 25 NOIR 33*95 VERRE</v>
      </c>
      <c r="AD111" s="39" t="s">
        <v>47</v>
      </c>
      <c r="AE111" s="39" t="str">
        <f t="shared" si="9"/>
        <v>ROMY  33*95 NOIR VERRE PAS DE REHAUSSE - CADRES CLASSIQUES - Pas de passepartout - Dos classique sans chevalet (Largeur 25mm Profondeur 15mm)</v>
      </c>
      <c r="AF111" s="39" t="str">
        <f t="shared" si="1"/>
        <v>ROMY  33*95 NOIR VERRE PAS DE REHAUSSE - CADRES CLASSIQUES - Pas de passepartout - Dos classique sans chevalet (Largeur 25mm Profondeur 15mm)</v>
      </c>
      <c r="AG111" s="53">
        <f t="shared" si="10"/>
        <v>22.46435424</v>
      </c>
      <c r="AH111" s="39"/>
      <c r="AI111" s="39"/>
      <c r="AJ111" s="39"/>
      <c r="AK111" s="39"/>
      <c r="AL111" s="39"/>
      <c r="AM111" s="39"/>
      <c r="AN111" s="39"/>
      <c r="AO111" s="39"/>
      <c r="AP111" s="39"/>
    </row>
    <row r="112" ht="15.75" customHeight="1">
      <c r="A112" s="39">
        <v>1001.0</v>
      </c>
      <c r="B112" s="40" t="s">
        <v>168</v>
      </c>
      <c r="C112" s="41" t="s">
        <v>94</v>
      </c>
      <c r="D112" s="42" t="s">
        <v>196</v>
      </c>
      <c r="E112" s="43">
        <v>345707.0</v>
      </c>
      <c r="F112" s="44" t="s">
        <v>196</v>
      </c>
      <c r="G112" s="45">
        <v>0.0</v>
      </c>
      <c r="H112" s="54">
        <v>7.663278735523076</v>
      </c>
      <c r="I112" s="47" t="s">
        <v>39</v>
      </c>
      <c r="J112" s="39" t="str">
        <f t="shared" si="2"/>
        <v>069630 - MARA 25</v>
      </c>
      <c r="K112" s="47">
        <f t="shared" si="3"/>
        <v>14.25325</v>
      </c>
      <c r="L112" s="48">
        <v>7.81</v>
      </c>
      <c r="M112" s="49">
        <f t="shared" si="4"/>
        <v>14.25325</v>
      </c>
      <c r="N112" s="39" t="s">
        <v>40</v>
      </c>
      <c r="O112" s="39" t="s">
        <v>41</v>
      </c>
      <c r="P112" s="39" t="s">
        <v>170</v>
      </c>
      <c r="Q112" s="47" t="str">
        <f t="shared" si="5"/>
        <v>40*40</v>
      </c>
      <c r="R112" s="50">
        <v>1.0</v>
      </c>
      <c r="S112" s="51">
        <v>0.0</v>
      </c>
      <c r="T112" s="51">
        <v>0.0</v>
      </c>
      <c r="U112" s="51">
        <v>0.0</v>
      </c>
      <c r="V112" s="39" t="s">
        <v>43</v>
      </c>
      <c r="W112" s="47" t="str">
        <f t="shared" si="6"/>
        <v>NOIR - 40*40 - PAS DE REHAUSSE - (Largeur 25mm Profondeur 15mm)</v>
      </c>
      <c r="X112" s="50">
        <v>0.0</v>
      </c>
      <c r="Y112" s="52" t="s">
        <v>44</v>
      </c>
      <c r="Z112" s="47" t="str">
        <f t="shared" si="7"/>
        <v>MARA 25 NOIR 40*40 VERRE</v>
      </c>
      <c r="AA112" s="39" t="s">
        <v>45</v>
      </c>
      <c r="AB112" s="39" t="s">
        <v>46</v>
      </c>
      <c r="AC112" s="47" t="str">
        <f t="shared" si="8"/>
        <v>MARA 25 NOIR 40*40 VERRE</v>
      </c>
      <c r="AD112" s="39" t="s">
        <v>47</v>
      </c>
      <c r="AE112" s="39" t="str">
        <f t="shared" si="9"/>
        <v>ROMY  40*40 NOIR VERRE PAS DE REHAUSSE - CADRES CLASSIQUES - Pas de passepartout - Dos classique sans chevalet (Largeur 25mm Profondeur 15mm)</v>
      </c>
      <c r="AF112" s="39" t="str">
        <f t="shared" si="1"/>
        <v>ROMY  40*40 NOIR VERRE PAS DE REHAUSSE - CADRES CLASSIQUES - Pas de passepartout - Dos classique sans chevalet (Largeur 25mm Profondeur 15mm)</v>
      </c>
      <c r="AG112" s="53">
        <f t="shared" si="10"/>
        <v>13.79390172</v>
      </c>
      <c r="AH112" s="39"/>
      <c r="AI112" s="39"/>
      <c r="AJ112" s="39"/>
      <c r="AK112" s="39"/>
      <c r="AL112" s="39"/>
      <c r="AM112" s="39"/>
      <c r="AN112" s="39"/>
      <c r="AO112" s="39"/>
      <c r="AP112" s="39"/>
    </row>
    <row r="113" ht="15.75" customHeight="1">
      <c r="A113" s="39">
        <v>1002.0</v>
      </c>
      <c r="B113" s="40" t="s">
        <v>168</v>
      </c>
      <c r="C113" s="41" t="s">
        <v>96</v>
      </c>
      <c r="D113" s="42" t="s">
        <v>197</v>
      </c>
      <c r="E113" s="43">
        <v>345707.0</v>
      </c>
      <c r="F113" s="44" t="s">
        <v>197</v>
      </c>
      <c r="G113" s="45">
        <v>7.0</v>
      </c>
      <c r="H113" s="54">
        <v>8.78108029544148</v>
      </c>
      <c r="I113" s="47" t="s">
        <v>39</v>
      </c>
      <c r="J113" s="39" t="str">
        <f t="shared" si="2"/>
        <v>069631 - MARA 25</v>
      </c>
      <c r="K113" s="47">
        <f t="shared" si="3"/>
        <v>16.33375</v>
      </c>
      <c r="L113" s="48">
        <v>8.95</v>
      </c>
      <c r="M113" s="49">
        <f t="shared" si="4"/>
        <v>16.33375</v>
      </c>
      <c r="N113" s="39" t="s">
        <v>40</v>
      </c>
      <c r="O113" s="39" t="s">
        <v>41</v>
      </c>
      <c r="P113" s="39" t="s">
        <v>170</v>
      </c>
      <c r="Q113" s="47" t="str">
        <f t="shared" si="5"/>
        <v>40*50</v>
      </c>
      <c r="R113" s="50">
        <v>1.0</v>
      </c>
      <c r="S113" s="51">
        <v>0.0</v>
      </c>
      <c r="T113" s="51">
        <v>0.0</v>
      </c>
      <c r="U113" s="51">
        <v>0.0</v>
      </c>
      <c r="V113" s="39" t="s">
        <v>43</v>
      </c>
      <c r="W113" s="47" t="str">
        <f t="shared" si="6"/>
        <v>NOIR - 40*50 - PAS DE REHAUSSE - (Largeur 25mm Profondeur 15mm)</v>
      </c>
      <c r="X113" s="50">
        <v>0.0</v>
      </c>
      <c r="Y113" s="52" t="s">
        <v>44</v>
      </c>
      <c r="Z113" s="47" t="str">
        <f t="shared" si="7"/>
        <v>MARA 25 NOIR 40*50 VERRE</v>
      </c>
      <c r="AA113" s="39" t="s">
        <v>45</v>
      </c>
      <c r="AB113" s="39" t="s">
        <v>46</v>
      </c>
      <c r="AC113" s="47" t="str">
        <f t="shared" si="8"/>
        <v>MARA 25 NOIR 40*50 VERRE</v>
      </c>
      <c r="AD113" s="39" t="s">
        <v>47</v>
      </c>
      <c r="AE113" s="39" t="str">
        <f t="shared" si="9"/>
        <v>ROMY  40*50 NOIR VERRE PAS DE REHAUSSE - CADRES CLASSIQUES - Pas de passepartout - Dos classique sans chevalet (Largeur 25mm Profondeur 15mm)</v>
      </c>
      <c r="AF113" s="39" t="str">
        <f t="shared" si="1"/>
        <v>ROMY  40*50 NOIR VERRE PAS DE REHAUSSE - CADRES CLASSIQUES - Pas de passepartout - Dos classique sans chevalet (Largeur 25mm Profondeur 15mm)</v>
      </c>
      <c r="AG113" s="53">
        <f t="shared" si="10"/>
        <v>15.80594453</v>
      </c>
      <c r="AH113" s="39"/>
      <c r="AI113" s="39"/>
      <c r="AJ113" s="39"/>
      <c r="AK113" s="39"/>
      <c r="AL113" s="39"/>
      <c r="AM113" s="39"/>
      <c r="AN113" s="39"/>
      <c r="AO113" s="39"/>
      <c r="AP113" s="39"/>
    </row>
    <row r="114" ht="15.75" customHeight="1">
      <c r="A114" s="39">
        <v>1003.0</v>
      </c>
      <c r="B114" s="40" t="s">
        <v>168</v>
      </c>
      <c r="C114" s="41" t="s">
        <v>98</v>
      </c>
      <c r="D114" s="42" t="s">
        <v>198</v>
      </c>
      <c r="E114" s="43">
        <v>345707.0</v>
      </c>
      <c r="F114" s="44" t="s">
        <v>198</v>
      </c>
      <c r="G114" s="45">
        <v>4.0</v>
      </c>
      <c r="H114" s="54">
        <v>9.891679525721234</v>
      </c>
      <c r="I114" s="47" t="s">
        <v>39</v>
      </c>
      <c r="J114" s="39" t="str">
        <f t="shared" si="2"/>
        <v>069632 - MARA 25</v>
      </c>
      <c r="K114" s="47">
        <f t="shared" si="3"/>
        <v>18.396</v>
      </c>
      <c r="L114" s="48">
        <v>10.08</v>
      </c>
      <c r="M114" s="49">
        <f t="shared" si="4"/>
        <v>18.396</v>
      </c>
      <c r="N114" s="39" t="s">
        <v>40</v>
      </c>
      <c r="O114" s="39" t="s">
        <v>41</v>
      </c>
      <c r="P114" s="39" t="s">
        <v>170</v>
      </c>
      <c r="Q114" s="47" t="str">
        <f t="shared" si="5"/>
        <v>40*60</v>
      </c>
      <c r="R114" s="50">
        <v>1.0</v>
      </c>
      <c r="S114" s="51">
        <v>0.0</v>
      </c>
      <c r="T114" s="51">
        <v>0.0</v>
      </c>
      <c r="U114" s="51">
        <v>0.0</v>
      </c>
      <c r="V114" s="39" t="s">
        <v>43</v>
      </c>
      <c r="W114" s="47" t="str">
        <f t="shared" si="6"/>
        <v>NOIR - 40*60 - PAS DE REHAUSSE - (Largeur 25mm Profondeur 15mm)</v>
      </c>
      <c r="X114" s="50">
        <v>0.0</v>
      </c>
      <c r="Y114" s="52" t="s">
        <v>44</v>
      </c>
      <c r="Z114" s="47" t="str">
        <f t="shared" si="7"/>
        <v>MARA 25 NOIR 40*60 VERRE</v>
      </c>
      <c r="AA114" s="39" t="s">
        <v>45</v>
      </c>
      <c r="AB114" s="39" t="s">
        <v>46</v>
      </c>
      <c r="AC114" s="47" t="str">
        <f t="shared" si="8"/>
        <v>MARA 25 NOIR 40*60 VERRE</v>
      </c>
      <c r="AD114" s="39" t="s">
        <v>47</v>
      </c>
      <c r="AE114" s="39" t="str">
        <f t="shared" si="9"/>
        <v>ROMY  40*60 NOIR VERRE PAS DE REHAUSSE - CADRES CLASSIQUES - Pas de passepartout - Dos classique sans chevalet (Largeur 25mm Profondeur 15mm)</v>
      </c>
      <c r="AF114" s="39" t="str">
        <f t="shared" si="1"/>
        <v>ROMY  40*60 NOIR VERRE PAS DE REHAUSSE - CADRES CLASSIQUES - Pas de passepartout - Dos classique sans chevalet (Largeur 25mm Profondeur 15mm)</v>
      </c>
      <c r="AG114" s="53">
        <f t="shared" si="10"/>
        <v>17.80502315</v>
      </c>
      <c r="AH114" s="39"/>
      <c r="AI114" s="39"/>
      <c r="AJ114" s="39"/>
      <c r="AK114" s="39"/>
      <c r="AL114" s="39"/>
      <c r="AM114" s="39"/>
      <c r="AN114" s="39"/>
      <c r="AO114" s="39"/>
      <c r="AP114" s="39"/>
    </row>
    <row r="115" ht="15.75" customHeight="1">
      <c r="A115" s="39">
        <v>1004.0</v>
      </c>
      <c r="B115" s="40" t="s">
        <v>168</v>
      </c>
      <c r="C115" s="41" t="s">
        <v>100</v>
      </c>
      <c r="D115" s="42" t="s">
        <v>199</v>
      </c>
      <c r="E115" s="43">
        <v>345707.0</v>
      </c>
      <c r="F115" s="44" t="s">
        <v>199</v>
      </c>
      <c r="G115" s="45">
        <v>9.0</v>
      </c>
      <c r="H115" s="54">
        <v>10.470861720703125</v>
      </c>
      <c r="I115" s="47" t="s">
        <v>39</v>
      </c>
      <c r="J115" s="39" t="str">
        <f t="shared" si="2"/>
        <v>068155 - MARA 25</v>
      </c>
      <c r="K115" s="47">
        <f t="shared" si="3"/>
        <v>19.47275</v>
      </c>
      <c r="L115" s="48">
        <v>10.67</v>
      </c>
      <c r="M115" s="49">
        <f t="shared" si="4"/>
        <v>19.47275</v>
      </c>
      <c r="N115" s="39" t="s">
        <v>40</v>
      </c>
      <c r="O115" s="39" t="s">
        <v>41</v>
      </c>
      <c r="P115" s="39" t="s">
        <v>170</v>
      </c>
      <c r="Q115" s="47" t="str">
        <f t="shared" si="5"/>
        <v>42*59,4</v>
      </c>
      <c r="R115" s="50">
        <v>1.0</v>
      </c>
      <c r="S115" s="51">
        <v>0.0</v>
      </c>
      <c r="T115" s="51">
        <v>0.0</v>
      </c>
      <c r="U115" s="51">
        <v>0.0</v>
      </c>
      <c r="V115" s="39" t="s">
        <v>43</v>
      </c>
      <c r="W115" s="47" t="str">
        <f t="shared" si="6"/>
        <v>NOIR - 42*59,4 - PAS DE REHAUSSE - (Largeur 25mm Profondeur 15mm)</v>
      </c>
      <c r="X115" s="50">
        <v>0.0</v>
      </c>
      <c r="Y115" s="52" t="s">
        <v>44</v>
      </c>
      <c r="Z115" s="47" t="str">
        <f t="shared" si="7"/>
        <v>MARA 25 NOIR 42*59,4 VERRE</v>
      </c>
      <c r="AA115" s="39" t="s">
        <v>45</v>
      </c>
      <c r="AB115" s="39" t="s">
        <v>46</v>
      </c>
      <c r="AC115" s="47" t="str">
        <f t="shared" si="8"/>
        <v>MARA 25 NOIR 42*59,4 VERRE</v>
      </c>
      <c r="AD115" s="39" t="s">
        <v>47</v>
      </c>
      <c r="AE115" s="39" t="str">
        <f t="shared" si="9"/>
        <v>ROMY  42*59,4 NOIR VERRE PAS DE REHAUSSE - CADRES CLASSIQUES - Pas de passepartout - Dos classique sans chevalet (Largeur 25mm Profondeur 15mm)</v>
      </c>
      <c r="AF115" s="39" t="str">
        <f t="shared" si="1"/>
        <v>ROMY  42*59,4 NOIR VERRE PAS DE REHAUSSE - CADRES CLASSIQUES - Pas de passepartout - Dos classique sans chevalet (Largeur 25mm Profondeur 15mm)</v>
      </c>
      <c r="AG115" s="53">
        <f t="shared" si="10"/>
        <v>18.8475511</v>
      </c>
      <c r="AH115" s="39"/>
      <c r="AI115" s="39"/>
      <c r="AJ115" s="39"/>
      <c r="AK115" s="39"/>
      <c r="AL115" s="39"/>
      <c r="AM115" s="39"/>
      <c r="AN115" s="39"/>
      <c r="AO115" s="39"/>
      <c r="AP115" s="39"/>
    </row>
    <row r="116" ht="15.75" customHeight="1">
      <c r="A116" s="39">
        <v>1005.0</v>
      </c>
      <c r="B116" s="40" t="s">
        <v>168</v>
      </c>
      <c r="C116" s="41" t="s">
        <v>102</v>
      </c>
      <c r="D116" s="42" t="s">
        <v>200</v>
      </c>
      <c r="E116" s="43">
        <v>345707.0</v>
      </c>
      <c r="F116" s="44" t="s">
        <v>200</v>
      </c>
      <c r="G116" s="45">
        <v>1.0</v>
      </c>
      <c r="H116" s="54">
        <v>10.848148901733886</v>
      </c>
      <c r="I116" s="47" t="s">
        <v>39</v>
      </c>
      <c r="J116" s="39" t="str">
        <f t="shared" si="2"/>
        <v>069633 - MARA 25</v>
      </c>
      <c r="K116" s="47">
        <f t="shared" si="3"/>
        <v>20.16625</v>
      </c>
      <c r="L116" s="48">
        <v>11.05</v>
      </c>
      <c r="M116" s="49">
        <f t="shared" si="4"/>
        <v>20.16625</v>
      </c>
      <c r="N116" s="39" t="s">
        <v>40</v>
      </c>
      <c r="O116" s="39" t="s">
        <v>41</v>
      </c>
      <c r="P116" s="39" t="s">
        <v>170</v>
      </c>
      <c r="Q116" s="47" t="str">
        <f t="shared" si="5"/>
        <v>46*61</v>
      </c>
      <c r="R116" s="50">
        <v>1.0</v>
      </c>
      <c r="S116" s="51">
        <v>0.0</v>
      </c>
      <c r="T116" s="51">
        <v>0.0</v>
      </c>
      <c r="U116" s="51">
        <v>0.0</v>
      </c>
      <c r="V116" s="39" t="s">
        <v>43</v>
      </c>
      <c r="W116" s="47" t="str">
        <f t="shared" si="6"/>
        <v>NOIR - 46*61 - PAS DE REHAUSSE - (Largeur 25mm Profondeur 15mm)</v>
      </c>
      <c r="X116" s="50">
        <v>0.0</v>
      </c>
      <c r="Y116" s="52" t="s">
        <v>44</v>
      </c>
      <c r="Z116" s="47" t="str">
        <f t="shared" si="7"/>
        <v>MARA 25 NOIR 46*61 VERRE</v>
      </c>
      <c r="AA116" s="39" t="s">
        <v>45</v>
      </c>
      <c r="AB116" s="39" t="s">
        <v>46</v>
      </c>
      <c r="AC116" s="47" t="str">
        <f t="shared" si="8"/>
        <v>MARA 25 NOIR 46*61 VERRE</v>
      </c>
      <c r="AD116" s="39" t="s">
        <v>47</v>
      </c>
      <c r="AE116" s="39" t="str">
        <f t="shared" si="9"/>
        <v>ROMY  46*61 NOIR VERRE PAS DE REHAUSSE - CADRES CLASSIQUES - Pas de passepartout - Dos classique sans chevalet (Largeur 25mm Profondeur 15mm)</v>
      </c>
      <c r="AF116" s="39" t="str">
        <f t="shared" si="1"/>
        <v>ROMY  46*61 NOIR VERRE PAS DE REHAUSSE - CADRES CLASSIQUES - Pas de passepartout - Dos classique sans chevalet (Largeur 25mm Profondeur 15mm)</v>
      </c>
      <c r="AG116" s="53">
        <f t="shared" si="10"/>
        <v>19.52666802</v>
      </c>
      <c r="AH116" s="39"/>
      <c r="AI116" s="39"/>
      <c r="AJ116" s="39"/>
      <c r="AK116" s="39"/>
      <c r="AL116" s="39"/>
      <c r="AM116" s="39"/>
      <c r="AN116" s="39"/>
      <c r="AO116" s="39"/>
      <c r="AP116" s="39"/>
    </row>
    <row r="117" ht="15.75" customHeight="1">
      <c r="A117" s="39">
        <v>1006.0</v>
      </c>
      <c r="B117" s="40" t="s">
        <v>168</v>
      </c>
      <c r="C117" s="41" t="s">
        <v>104</v>
      </c>
      <c r="D117" s="42" t="s">
        <v>201</v>
      </c>
      <c r="E117" s="43">
        <v>345707.0</v>
      </c>
      <c r="F117" s="44" t="s">
        <v>201</v>
      </c>
      <c r="G117" s="45">
        <v>8.0</v>
      </c>
      <c r="H117" s="54">
        <v>10.03284518663876</v>
      </c>
      <c r="I117" s="47" t="s">
        <v>39</v>
      </c>
      <c r="J117" s="39" t="str">
        <f t="shared" si="2"/>
        <v>069634 - MARA 25</v>
      </c>
      <c r="K117" s="47">
        <f t="shared" si="3"/>
        <v>18.6515</v>
      </c>
      <c r="L117" s="48">
        <v>10.22</v>
      </c>
      <c r="M117" s="49">
        <f t="shared" si="4"/>
        <v>18.6515</v>
      </c>
      <c r="N117" s="39" t="s">
        <v>40</v>
      </c>
      <c r="O117" s="39" t="s">
        <v>41</v>
      </c>
      <c r="P117" s="39" t="s">
        <v>170</v>
      </c>
      <c r="Q117" s="47" t="str">
        <f t="shared" si="5"/>
        <v>50*50</v>
      </c>
      <c r="R117" s="50">
        <v>1.0</v>
      </c>
      <c r="S117" s="51">
        <v>0.0</v>
      </c>
      <c r="T117" s="51">
        <v>0.0</v>
      </c>
      <c r="U117" s="51">
        <v>0.0</v>
      </c>
      <c r="V117" s="39" t="s">
        <v>43</v>
      </c>
      <c r="W117" s="47" t="str">
        <f t="shared" si="6"/>
        <v>NOIR - 50*50 - PAS DE REHAUSSE - (Largeur 25mm Profondeur 15mm)</v>
      </c>
      <c r="X117" s="50">
        <v>0.0</v>
      </c>
      <c r="Y117" s="52" t="s">
        <v>44</v>
      </c>
      <c r="Z117" s="47" t="str">
        <f t="shared" si="7"/>
        <v>MARA 25 NOIR 50*50 VERRE</v>
      </c>
      <c r="AA117" s="39" t="s">
        <v>45</v>
      </c>
      <c r="AB117" s="39" t="s">
        <v>46</v>
      </c>
      <c r="AC117" s="47" t="str">
        <f t="shared" si="8"/>
        <v>MARA 25 NOIR 50*50 VERRE</v>
      </c>
      <c r="AD117" s="39" t="s">
        <v>47</v>
      </c>
      <c r="AE117" s="39" t="str">
        <f t="shared" si="9"/>
        <v>ROMY  50*50 NOIR VERRE PAS DE REHAUSSE - CADRES CLASSIQUES - Pas de passepartout - Dos classique sans chevalet (Largeur 25mm Profondeur 15mm)</v>
      </c>
      <c r="AF117" s="39" t="str">
        <f t="shared" si="1"/>
        <v>ROMY  50*50 NOIR VERRE PAS DE REHAUSSE - CADRES CLASSIQUES - Pas de passepartout - Dos classique sans chevalet (Largeur 25mm Profondeur 15mm)</v>
      </c>
      <c r="AG117" s="53">
        <f t="shared" si="10"/>
        <v>18.05912134</v>
      </c>
      <c r="AH117" s="39"/>
      <c r="AI117" s="39"/>
      <c r="AJ117" s="39"/>
      <c r="AK117" s="39"/>
      <c r="AL117" s="39"/>
      <c r="AM117" s="39"/>
      <c r="AN117" s="39"/>
      <c r="AO117" s="39"/>
      <c r="AP117" s="39"/>
    </row>
    <row r="118" ht="15.75" customHeight="1">
      <c r="A118" s="39">
        <v>1007.0</v>
      </c>
      <c r="B118" s="40" t="s">
        <v>168</v>
      </c>
      <c r="C118" s="41" t="s">
        <v>106</v>
      </c>
      <c r="D118" s="42" t="s">
        <v>202</v>
      </c>
      <c r="E118" s="43">
        <v>345707.0</v>
      </c>
      <c r="F118" s="44" t="s">
        <v>202</v>
      </c>
      <c r="G118" s="45">
        <v>5.0</v>
      </c>
      <c r="H118" s="54">
        <v>11.28461007783604</v>
      </c>
      <c r="I118" s="47" t="s">
        <v>39</v>
      </c>
      <c r="J118" s="39" t="str">
        <f t="shared" si="2"/>
        <v>069635 - MARA 25</v>
      </c>
      <c r="K118" s="47">
        <f t="shared" si="3"/>
        <v>20.9875</v>
      </c>
      <c r="L118" s="48">
        <v>11.5</v>
      </c>
      <c r="M118" s="49">
        <f t="shared" si="4"/>
        <v>20.9875</v>
      </c>
      <c r="N118" s="39" t="s">
        <v>40</v>
      </c>
      <c r="O118" s="39" t="s">
        <v>41</v>
      </c>
      <c r="P118" s="39" t="s">
        <v>170</v>
      </c>
      <c r="Q118" s="47" t="str">
        <f t="shared" si="5"/>
        <v>50*60</v>
      </c>
      <c r="R118" s="50">
        <v>1.0</v>
      </c>
      <c r="S118" s="51">
        <v>0.0</v>
      </c>
      <c r="T118" s="51">
        <v>0.0</v>
      </c>
      <c r="U118" s="51">
        <v>0.0</v>
      </c>
      <c r="V118" s="39" t="s">
        <v>43</v>
      </c>
      <c r="W118" s="47" t="str">
        <f t="shared" si="6"/>
        <v>NOIR - 50*60 - PAS DE REHAUSSE - (Largeur 25mm Profondeur 15mm)</v>
      </c>
      <c r="X118" s="50">
        <v>0.0</v>
      </c>
      <c r="Y118" s="52" t="s">
        <v>44</v>
      </c>
      <c r="Z118" s="47" t="str">
        <f t="shared" si="7"/>
        <v>MARA 25 NOIR 50*60 VERRE</v>
      </c>
      <c r="AA118" s="39" t="s">
        <v>45</v>
      </c>
      <c r="AB118" s="39" t="s">
        <v>46</v>
      </c>
      <c r="AC118" s="47" t="str">
        <f t="shared" si="8"/>
        <v>MARA 25 NOIR 50*60 VERRE</v>
      </c>
      <c r="AD118" s="39" t="s">
        <v>47</v>
      </c>
      <c r="AE118" s="39" t="str">
        <f t="shared" si="9"/>
        <v>ROMY  50*60 NOIR VERRE PAS DE REHAUSSE - CADRES CLASSIQUES - Pas de passepartout - Dos classique sans chevalet (Largeur 25mm Profondeur 15mm)</v>
      </c>
      <c r="AF118" s="39" t="str">
        <f t="shared" si="1"/>
        <v>ROMY  50*60 NOIR VERRE PAS DE REHAUSSE - CADRES CLASSIQUES - Pas de passepartout - Dos classique sans chevalet (Largeur 25mm Profondeur 15mm)</v>
      </c>
      <c r="AG118" s="53">
        <f t="shared" si="10"/>
        <v>20.31229814</v>
      </c>
      <c r="AH118" s="39"/>
      <c r="AI118" s="39"/>
      <c r="AJ118" s="39"/>
      <c r="AK118" s="39"/>
      <c r="AL118" s="39"/>
      <c r="AM118" s="39"/>
      <c r="AN118" s="39"/>
      <c r="AO118" s="39"/>
      <c r="AP118" s="39"/>
    </row>
    <row r="119" ht="15.75" customHeight="1">
      <c r="A119" s="39">
        <v>1008.0</v>
      </c>
      <c r="B119" s="40" t="s">
        <v>168</v>
      </c>
      <c r="C119" s="41" t="s">
        <v>108</v>
      </c>
      <c r="D119" s="42" t="s">
        <v>203</v>
      </c>
      <c r="E119" s="43">
        <v>345707.0</v>
      </c>
      <c r="F119" s="44" t="s">
        <v>203</v>
      </c>
      <c r="G119" s="45">
        <v>2.0</v>
      </c>
      <c r="H119" s="54">
        <v>11.902569960832176</v>
      </c>
      <c r="I119" s="47" t="s">
        <v>39</v>
      </c>
      <c r="J119" s="39" t="str">
        <f t="shared" si="2"/>
        <v>069636 - MARA 25</v>
      </c>
      <c r="K119" s="47">
        <f t="shared" si="3"/>
        <v>22.13725</v>
      </c>
      <c r="L119" s="48">
        <v>12.13</v>
      </c>
      <c r="M119" s="49">
        <f t="shared" si="4"/>
        <v>22.13725</v>
      </c>
      <c r="N119" s="39" t="s">
        <v>40</v>
      </c>
      <c r="O119" s="39" t="s">
        <v>41</v>
      </c>
      <c r="P119" s="39" t="s">
        <v>170</v>
      </c>
      <c r="Q119" s="47" t="str">
        <f t="shared" si="5"/>
        <v>50*65</v>
      </c>
      <c r="R119" s="50">
        <v>1.0</v>
      </c>
      <c r="S119" s="51">
        <v>0.0</v>
      </c>
      <c r="T119" s="51">
        <v>0.0</v>
      </c>
      <c r="U119" s="51">
        <v>0.0</v>
      </c>
      <c r="V119" s="39" t="s">
        <v>43</v>
      </c>
      <c r="W119" s="47" t="str">
        <f t="shared" si="6"/>
        <v>NOIR - 50*65 - PAS DE REHAUSSE - (Largeur 25mm Profondeur 15mm)</v>
      </c>
      <c r="X119" s="50">
        <v>0.0</v>
      </c>
      <c r="Y119" s="52" t="s">
        <v>44</v>
      </c>
      <c r="Z119" s="47" t="str">
        <f t="shared" si="7"/>
        <v>MARA 25 NOIR 50*65 VERRE</v>
      </c>
      <c r="AA119" s="39" t="s">
        <v>45</v>
      </c>
      <c r="AB119" s="39" t="s">
        <v>46</v>
      </c>
      <c r="AC119" s="47" t="str">
        <f t="shared" si="8"/>
        <v>MARA 25 NOIR 50*65 VERRE</v>
      </c>
      <c r="AD119" s="39" t="s">
        <v>47</v>
      </c>
      <c r="AE119" s="39" t="str">
        <f t="shared" si="9"/>
        <v>ROMY  50*65 NOIR VERRE PAS DE REHAUSSE - CADRES CLASSIQUES - Pas de passepartout - Dos classique sans chevalet (Largeur 25mm Profondeur 15mm)</v>
      </c>
      <c r="AF119" s="39" t="str">
        <f t="shared" si="1"/>
        <v>ROMY  50*65 NOIR VERRE PAS DE REHAUSSE - CADRES CLASSIQUES - Pas de passepartout - Dos classique sans chevalet (Largeur 25mm Profondeur 15mm)</v>
      </c>
      <c r="AG119" s="53">
        <f t="shared" si="10"/>
        <v>21.42462593</v>
      </c>
      <c r="AH119" s="39"/>
      <c r="AI119" s="39"/>
      <c r="AJ119" s="39"/>
      <c r="AK119" s="39"/>
      <c r="AL119" s="39"/>
      <c r="AM119" s="39"/>
      <c r="AN119" s="39"/>
      <c r="AO119" s="39"/>
      <c r="AP119" s="39"/>
    </row>
    <row r="120" ht="15.75" customHeight="1">
      <c r="A120" s="39">
        <v>1009.0</v>
      </c>
      <c r="B120" s="40" t="s">
        <v>168</v>
      </c>
      <c r="C120" s="41" t="s">
        <v>110</v>
      </c>
      <c r="D120" s="42" t="s">
        <v>204</v>
      </c>
      <c r="E120" s="43">
        <v>345707.0</v>
      </c>
      <c r="F120" s="44" t="s">
        <v>204</v>
      </c>
      <c r="G120" s="45">
        <v>9.0</v>
      </c>
      <c r="H120" s="54">
        <v>12.543577298671984</v>
      </c>
      <c r="I120" s="47" t="s">
        <v>39</v>
      </c>
      <c r="J120" s="39" t="str">
        <f t="shared" si="2"/>
        <v>069637 - MARA 25</v>
      </c>
      <c r="K120" s="47">
        <f t="shared" si="3"/>
        <v>23.3235</v>
      </c>
      <c r="L120" s="48">
        <v>12.78</v>
      </c>
      <c r="M120" s="49">
        <f t="shared" si="4"/>
        <v>23.3235</v>
      </c>
      <c r="N120" s="39" t="s">
        <v>40</v>
      </c>
      <c r="O120" s="39" t="s">
        <v>41</v>
      </c>
      <c r="P120" s="39" t="s">
        <v>170</v>
      </c>
      <c r="Q120" s="47" t="str">
        <f t="shared" si="5"/>
        <v>50*70</v>
      </c>
      <c r="R120" s="50">
        <v>1.0</v>
      </c>
      <c r="S120" s="51">
        <v>0.0</v>
      </c>
      <c r="T120" s="51">
        <v>0.0</v>
      </c>
      <c r="U120" s="51">
        <v>0.0</v>
      </c>
      <c r="V120" s="39" t="s">
        <v>43</v>
      </c>
      <c r="W120" s="47" t="str">
        <f t="shared" si="6"/>
        <v>NOIR - 50*70 - PAS DE REHAUSSE - (Largeur 25mm Profondeur 15mm)</v>
      </c>
      <c r="X120" s="50">
        <v>0.0</v>
      </c>
      <c r="Y120" s="52" t="s">
        <v>44</v>
      </c>
      <c r="Z120" s="47" t="str">
        <f t="shared" si="7"/>
        <v>MARA 25 NOIR 50*70 VERRE</v>
      </c>
      <c r="AA120" s="39" t="s">
        <v>45</v>
      </c>
      <c r="AB120" s="39" t="s">
        <v>46</v>
      </c>
      <c r="AC120" s="47" t="str">
        <f t="shared" si="8"/>
        <v>MARA 25 NOIR 50*70 VERRE</v>
      </c>
      <c r="AD120" s="39" t="s">
        <v>47</v>
      </c>
      <c r="AE120" s="39" t="str">
        <f t="shared" si="9"/>
        <v>ROMY  50*70 NOIR VERRE PAS DE REHAUSSE - CADRES CLASSIQUES - Pas de passepartout - Dos classique sans chevalet (Largeur 25mm Profondeur 15mm)</v>
      </c>
      <c r="AF120" s="39" t="str">
        <f t="shared" si="1"/>
        <v>ROMY  50*70 NOIR VERRE PAS DE REHAUSSE - CADRES CLASSIQUES - Pas de passepartout - Dos classique sans chevalet (Largeur 25mm Profondeur 15mm)</v>
      </c>
      <c r="AG120" s="53">
        <f t="shared" si="10"/>
        <v>22.57843914</v>
      </c>
      <c r="AH120" s="39"/>
      <c r="AI120" s="39"/>
      <c r="AJ120" s="39"/>
      <c r="AK120" s="39"/>
      <c r="AL120" s="39"/>
      <c r="AM120" s="39"/>
      <c r="AN120" s="39"/>
      <c r="AO120" s="39"/>
      <c r="AP120" s="39"/>
    </row>
    <row r="121" ht="15.75" customHeight="1">
      <c r="A121" s="39">
        <v>1010.0</v>
      </c>
      <c r="B121" s="40" t="s">
        <v>168</v>
      </c>
      <c r="C121" s="41" t="s">
        <v>112</v>
      </c>
      <c r="D121" s="42" t="s">
        <v>205</v>
      </c>
      <c r="E121" s="43">
        <v>345707.0</v>
      </c>
      <c r="F121" s="44" t="s">
        <v>205</v>
      </c>
      <c r="G121" s="45">
        <v>1.0</v>
      </c>
      <c r="H121" s="54">
        <v>12.794448844645425</v>
      </c>
      <c r="I121" s="47" t="s">
        <v>39</v>
      </c>
      <c r="J121" s="39" t="str">
        <f t="shared" si="2"/>
        <v>054316 - MARA 25</v>
      </c>
      <c r="K121" s="47">
        <f t="shared" si="3"/>
        <v>23.798</v>
      </c>
      <c r="L121" s="48">
        <v>13.04</v>
      </c>
      <c r="M121" s="49">
        <f t="shared" si="4"/>
        <v>23.798</v>
      </c>
      <c r="N121" s="39" t="s">
        <v>40</v>
      </c>
      <c r="O121" s="39" t="s">
        <v>41</v>
      </c>
      <c r="P121" s="39" t="s">
        <v>170</v>
      </c>
      <c r="Q121" s="47" t="str">
        <f t="shared" si="5"/>
        <v>60*60</v>
      </c>
      <c r="R121" s="50">
        <v>1.0</v>
      </c>
      <c r="S121" s="51">
        <v>0.0</v>
      </c>
      <c r="T121" s="51">
        <v>0.0</v>
      </c>
      <c r="U121" s="51">
        <v>0.0</v>
      </c>
      <c r="V121" s="39" t="s">
        <v>43</v>
      </c>
      <c r="W121" s="47" t="str">
        <f t="shared" si="6"/>
        <v>NOIR - 60*60 - PAS DE REHAUSSE - (Largeur 25mm Profondeur 15mm)</v>
      </c>
      <c r="X121" s="50">
        <v>0.0</v>
      </c>
      <c r="Y121" s="52" t="s">
        <v>44</v>
      </c>
      <c r="Z121" s="47" t="str">
        <f t="shared" si="7"/>
        <v>MARA 25 NOIR 60*60 VERRE</v>
      </c>
      <c r="AA121" s="39" t="s">
        <v>45</v>
      </c>
      <c r="AB121" s="39" t="s">
        <v>46</v>
      </c>
      <c r="AC121" s="47" t="str">
        <f t="shared" si="8"/>
        <v>MARA 25 NOIR 60*60 VERRE</v>
      </c>
      <c r="AD121" s="39" t="s">
        <v>47</v>
      </c>
      <c r="AE121" s="39" t="str">
        <f t="shared" si="9"/>
        <v>ROMY  60*60 NOIR VERRE PAS DE REHAUSSE - CADRES CLASSIQUES - Pas de passepartout - Dos classique sans chevalet (Largeur 25mm Profondeur 15mm)</v>
      </c>
      <c r="AF121" s="39" t="str">
        <f t="shared" si="1"/>
        <v>ROMY  60*60 NOIR VERRE PAS DE REHAUSSE - CADRES CLASSIQUES - Pas de passepartout - Dos classique sans chevalet (Largeur 25mm Profondeur 15mm)</v>
      </c>
      <c r="AG121" s="53">
        <f t="shared" si="10"/>
        <v>23.03000792</v>
      </c>
      <c r="AH121" s="39"/>
      <c r="AI121" s="39"/>
      <c r="AJ121" s="39"/>
      <c r="AK121" s="39"/>
      <c r="AL121" s="39"/>
      <c r="AM121" s="39"/>
      <c r="AN121" s="39"/>
      <c r="AO121" s="39"/>
      <c r="AP121" s="39"/>
    </row>
    <row r="122" ht="15.75" customHeight="1">
      <c r="A122" s="39">
        <v>1011.0</v>
      </c>
      <c r="B122" s="40" t="s">
        <v>168</v>
      </c>
      <c r="C122" s="41" t="s">
        <v>114</v>
      </c>
      <c r="D122" s="42" t="s">
        <v>206</v>
      </c>
      <c r="E122" s="43">
        <v>345707.0</v>
      </c>
      <c r="F122" s="44" t="s">
        <v>206</v>
      </c>
      <c r="G122" s="45">
        <v>6.0</v>
      </c>
      <c r="H122" s="54">
        <v>15.45763987046957</v>
      </c>
      <c r="I122" s="47" t="s">
        <v>39</v>
      </c>
      <c r="J122" s="39" t="str">
        <f t="shared" si="2"/>
        <v>069638 - MARA 25</v>
      </c>
      <c r="K122" s="47">
        <f t="shared" si="3"/>
        <v>28.74375</v>
      </c>
      <c r="L122" s="48">
        <v>15.75</v>
      </c>
      <c r="M122" s="49">
        <f t="shared" si="4"/>
        <v>28.74375</v>
      </c>
      <c r="N122" s="39" t="s">
        <v>40</v>
      </c>
      <c r="O122" s="39" t="s">
        <v>41</v>
      </c>
      <c r="P122" s="39" t="s">
        <v>170</v>
      </c>
      <c r="Q122" s="47" t="str">
        <f t="shared" si="5"/>
        <v>60*80</v>
      </c>
      <c r="R122" s="50">
        <v>1.0</v>
      </c>
      <c r="S122" s="51">
        <v>0.0</v>
      </c>
      <c r="T122" s="51">
        <v>0.0</v>
      </c>
      <c r="U122" s="51">
        <v>0.0</v>
      </c>
      <c r="V122" s="39" t="s">
        <v>43</v>
      </c>
      <c r="W122" s="47" t="str">
        <f t="shared" si="6"/>
        <v>NOIR - 60*80 - PAS DE REHAUSSE - (Largeur 25mm Profondeur 15mm)</v>
      </c>
      <c r="X122" s="50">
        <v>0.0</v>
      </c>
      <c r="Y122" s="52" t="s">
        <v>44</v>
      </c>
      <c r="Z122" s="47" t="str">
        <f t="shared" si="7"/>
        <v>MARA 25 NOIR 60*80 VERRE</v>
      </c>
      <c r="AA122" s="39" t="s">
        <v>45</v>
      </c>
      <c r="AB122" s="39" t="s">
        <v>46</v>
      </c>
      <c r="AC122" s="47" t="str">
        <f t="shared" si="8"/>
        <v>MARA 25 NOIR 60*80 VERRE</v>
      </c>
      <c r="AD122" s="39" t="s">
        <v>47</v>
      </c>
      <c r="AE122" s="39" t="str">
        <f t="shared" si="9"/>
        <v>ROMY  60*80 NOIR VERRE PAS DE REHAUSSE - CADRES CLASSIQUES - Pas de passepartout - Dos classique sans chevalet (Largeur 25mm Profondeur 15mm)</v>
      </c>
      <c r="AF122" s="39" t="str">
        <f t="shared" si="1"/>
        <v>ROMY  60*80 NOIR VERRE PAS DE REHAUSSE - CADRES CLASSIQUES - Pas de passepartout - Dos classique sans chevalet (Largeur 25mm Profondeur 15mm)</v>
      </c>
      <c r="AG122" s="53">
        <f t="shared" si="10"/>
        <v>27.82375177</v>
      </c>
      <c r="AH122" s="39"/>
      <c r="AI122" s="39"/>
      <c r="AJ122" s="39"/>
      <c r="AK122" s="39"/>
      <c r="AL122" s="39"/>
      <c r="AM122" s="39"/>
      <c r="AN122" s="39"/>
      <c r="AO122" s="39"/>
      <c r="AP122" s="39"/>
    </row>
    <row r="123" ht="15.75" customHeight="1">
      <c r="A123" s="39">
        <v>1012.0</v>
      </c>
      <c r="B123" s="40" t="s">
        <v>168</v>
      </c>
      <c r="C123" s="41" t="s">
        <v>116</v>
      </c>
      <c r="D123" s="42" t="s">
        <v>207</v>
      </c>
      <c r="E123" s="43">
        <v>345707.0</v>
      </c>
      <c r="F123" s="44" t="s">
        <v>207</v>
      </c>
      <c r="G123" s="45">
        <v>3.0</v>
      </c>
      <c r="H123" s="54">
        <v>19.789120915153383</v>
      </c>
      <c r="I123" s="47" t="s">
        <v>39</v>
      </c>
      <c r="J123" s="39" t="str">
        <f t="shared" si="2"/>
        <v>069639 - MARA 25</v>
      </c>
      <c r="K123" s="47">
        <f t="shared" si="3"/>
        <v>36.81025</v>
      </c>
      <c r="L123" s="48">
        <v>20.17</v>
      </c>
      <c r="M123" s="49">
        <f t="shared" si="4"/>
        <v>36.81025</v>
      </c>
      <c r="N123" s="39" t="s">
        <v>40</v>
      </c>
      <c r="O123" s="39" t="s">
        <v>41</v>
      </c>
      <c r="P123" s="39" t="s">
        <v>170</v>
      </c>
      <c r="Q123" s="47" t="str">
        <f t="shared" si="5"/>
        <v>61*91,5</v>
      </c>
      <c r="R123" s="50">
        <v>1.0</v>
      </c>
      <c r="S123" s="51">
        <v>0.0</v>
      </c>
      <c r="T123" s="51">
        <v>0.0</v>
      </c>
      <c r="U123" s="51">
        <v>0.0</v>
      </c>
      <c r="V123" s="39" t="s">
        <v>43</v>
      </c>
      <c r="W123" s="47" t="str">
        <f t="shared" si="6"/>
        <v>NOIR - 61*91,5 - PAS DE REHAUSSE - (Largeur 25mm Profondeur 15mm)</v>
      </c>
      <c r="X123" s="50">
        <v>0.0</v>
      </c>
      <c r="Y123" s="52" t="s">
        <v>44</v>
      </c>
      <c r="Z123" s="47" t="str">
        <f t="shared" si="7"/>
        <v>MARA 25 NOIR 61*91,5 VERRE</v>
      </c>
      <c r="AA123" s="39" t="s">
        <v>45</v>
      </c>
      <c r="AB123" s="39" t="s">
        <v>46</v>
      </c>
      <c r="AC123" s="47" t="str">
        <f t="shared" si="8"/>
        <v>MARA 25 NOIR 61*91,5 VERRE</v>
      </c>
      <c r="AD123" s="39" t="s">
        <v>47</v>
      </c>
      <c r="AE123" s="39" t="str">
        <f t="shared" si="9"/>
        <v>ROMY  61*91,5 NOIR VERRE PAS DE REHAUSSE - CADRES CLASSIQUES - Pas de passepartout - Dos classique sans chevalet (Largeur 25mm Profondeur 15mm)</v>
      </c>
      <c r="AF123" s="39" t="str">
        <f t="shared" si="1"/>
        <v>ROMY  61*91,5 NOIR VERRE PAS DE REHAUSSE - CADRES CLASSIQUES - Pas de passepartout - Dos classique sans chevalet (Largeur 25mm Profondeur 15mm)</v>
      </c>
      <c r="AG123" s="53">
        <f t="shared" si="10"/>
        <v>35.62041765</v>
      </c>
      <c r="AH123" s="39"/>
      <c r="AI123" s="39"/>
      <c r="AJ123" s="39"/>
      <c r="AK123" s="39"/>
      <c r="AL123" s="39"/>
      <c r="AM123" s="39"/>
      <c r="AN123" s="39"/>
      <c r="AO123" s="39"/>
      <c r="AP123" s="39"/>
    </row>
    <row r="124" ht="15.75" customHeight="1">
      <c r="A124" s="39">
        <v>1013.0</v>
      </c>
      <c r="B124" s="40" t="s">
        <v>168</v>
      </c>
      <c r="C124" s="41" t="s">
        <v>118</v>
      </c>
      <c r="D124" s="42" t="s">
        <v>208</v>
      </c>
      <c r="E124" s="43">
        <v>345707.0</v>
      </c>
      <c r="F124" s="44" t="s">
        <v>208</v>
      </c>
      <c r="G124" s="45">
        <v>9.0</v>
      </c>
      <c r="H124" s="54">
        <v>15.600245997314829</v>
      </c>
      <c r="I124" s="47" t="s">
        <v>39</v>
      </c>
      <c r="J124" s="39" t="str">
        <f t="shared" si="2"/>
        <v>069640 - MARA 25</v>
      </c>
      <c r="K124" s="47">
        <f t="shared" si="3"/>
        <v>29.0175</v>
      </c>
      <c r="L124" s="48">
        <v>15.9</v>
      </c>
      <c r="M124" s="49">
        <f t="shared" si="4"/>
        <v>29.0175</v>
      </c>
      <c r="N124" s="39" t="s">
        <v>40</v>
      </c>
      <c r="O124" s="39" t="s">
        <v>41</v>
      </c>
      <c r="P124" s="39" t="s">
        <v>170</v>
      </c>
      <c r="Q124" s="47" t="str">
        <f t="shared" si="5"/>
        <v>70*70</v>
      </c>
      <c r="R124" s="50">
        <v>1.0</v>
      </c>
      <c r="S124" s="51">
        <v>0.0</v>
      </c>
      <c r="T124" s="51">
        <v>0.0</v>
      </c>
      <c r="U124" s="51">
        <v>0.0</v>
      </c>
      <c r="V124" s="39" t="s">
        <v>43</v>
      </c>
      <c r="W124" s="47" t="str">
        <f t="shared" si="6"/>
        <v>NOIR - 70*70 - PAS DE REHAUSSE - (Largeur 25mm Profondeur 15mm)</v>
      </c>
      <c r="X124" s="50">
        <v>0.0</v>
      </c>
      <c r="Y124" s="52" t="s">
        <v>44</v>
      </c>
      <c r="Z124" s="47" t="str">
        <f t="shared" si="7"/>
        <v>MARA 25 NOIR 70*70 VERRE</v>
      </c>
      <c r="AA124" s="39" t="s">
        <v>45</v>
      </c>
      <c r="AB124" s="39" t="s">
        <v>46</v>
      </c>
      <c r="AC124" s="47" t="str">
        <f t="shared" si="8"/>
        <v>MARA 25 NOIR 70*70 VERRE</v>
      </c>
      <c r="AD124" s="39" t="s">
        <v>47</v>
      </c>
      <c r="AE124" s="39" t="str">
        <f t="shared" si="9"/>
        <v>ROMY  70*70 NOIR VERRE PAS DE REHAUSSE - CADRES CLASSIQUES - Pas de passepartout - Dos classique sans chevalet (Largeur 25mm Profondeur 15mm)</v>
      </c>
      <c r="AF124" s="39" t="str">
        <f t="shared" si="1"/>
        <v>ROMY  70*70 NOIR VERRE PAS DE REHAUSSE - CADRES CLASSIQUES - Pas de passepartout - Dos classique sans chevalet (Largeur 25mm Profondeur 15mm)</v>
      </c>
      <c r="AG124" s="53">
        <f t="shared" si="10"/>
        <v>28.0804428</v>
      </c>
      <c r="AH124" s="39"/>
      <c r="AI124" s="39"/>
      <c r="AJ124" s="39"/>
      <c r="AK124" s="39"/>
      <c r="AL124" s="39"/>
      <c r="AM124" s="39"/>
      <c r="AN124" s="39"/>
      <c r="AO124" s="39"/>
      <c r="AP124" s="39"/>
    </row>
    <row r="125" ht="15.75" customHeight="1">
      <c r="A125" s="39">
        <v>1014.0</v>
      </c>
      <c r="B125" s="40" t="s">
        <v>168</v>
      </c>
      <c r="C125" s="41" t="s">
        <v>120</v>
      </c>
      <c r="D125" s="42" t="s">
        <v>209</v>
      </c>
      <c r="E125" s="43">
        <v>345707.0</v>
      </c>
      <c r="F125" s="44" t="s">
        <v>209</v>
      </c>
      <c r="G125" s="45">
        <v>6.0</v>
      </c>
      <c r="H125" s="54">
        <v>16.29166964262518</v>
      </c>
      <c r="I125" s="47" t="s">
        <v>39</v>
      </c>
      <c r="J125" s="39" t="str">
        <f t="shared" si="2"/>
        <v>069641 - MARA 25</v>
      </c>
      <c r="K125" s="47">
        <f t="shared" si="3"/>
        <v>30.295</v>
      </c>
      <c r="L125" s="48">
        <v>16.6</v>
      </c>
      <c r="M125" s="49">
        <f t="shared" si="4"/>
        <v>30.295</v>
      </c>
      <c r="N125" s="39" t="s">
        <v>40</v>
      </c>
      <c r="O125" s="39" t="s">
        <v>41</v>
      </c>
      <c r="P125" s="39" t="s">
        <v>170</v>
      </c>
      <c r="Q125" s="47" t="str">
        <f t="shared" si="5"/>
        <v>50*100</v>
      </c>
      <c r="R125" s="50">
        <v>1.0</v>
      </c>
      <c r="S125" s="51">
        <v>0.0</v>
      </c>
      <c r="T125" s="51">
        <v>0.0</v>
      </c>
      <c r="U125" s="51">
        <v>0.0</v>
      </c>
      <c r="V125" s="39" t="s">
        <v>43</v>
      </c>
      <c r="W125" s="47" t="str">
        <f t="shared" si="6"/>
        <v>NOIR - 50*100 - PAS DE REHAUSSE - (Largeur 25mm Profondeur 15mm)</v>
      </c>
      <c r="X125" s="50">
        <v>0.0</v>
      </c>
      <c r="Y125" s="52" t="s">
        <v>44</v>
      </c>
      <c r="Z125" s="47" t="str">
        <f t="shared" si="7"/>
        <v>MARA 25 NOIR 50*100 VERRE</v>
      </c>
      <c r="AA125" s="39" t="s">
        <v>45</v>
      </c>
      <c r="AB125" s="39" t="s">
        <v>46</v>
      </c>
      <c r="AC125" s="47" t="str">
        <f t="shared" si="8"/>
        <v>MARA 25 NOIR 50*100 VERRE</v>
      </c>
      <c r="AD125" s="39" t="s">
        <v>47</v>
      </c>
      <c r="AE125" s="39" t="str">
        <f t="shared" si="9"/>
        <v>ROMY  50*100 NOIR VERRE PAS DE REHAUSSE - CADRES CLASSIQUES - Pas de passepartout - Dos classique sans chevalet (Largeur 25mm Profondeur 15mm)</v>
      </c>
      <c r="AF125" s="39" t="str">
        <f t="shared" si="1"/>
        <v>ROMY  50*100 NOIR VERRE PAS DE REHAUSSE - CADRES CLASSIQUES - Pas de passepartout - Dos classique sans chevalet (Largeur 25mm Profondeur 15mm)</v>
      </c>
      <c r="AG125" s="53">
        <f t="shared" si="10"/>
        <v>29.32500536</v>
      </c>
      <c r="AH125" s="39"/>
      <c r="AI125" s="39"/>
      <c r="AJ125" s="39"/>
      <c r="AK125" s="39"/>
      <c r="AL125" s="39"/>
      <c r="AM125" s="39"/>
      <c r="AN125" s="39"/>
      <c r="AO125" s="39"/>
      <c r="AP125" s="39"/>
    </row>
    <row r="126" ht="15.75" customHeight="1">
      <c r="A126" s="39">
        <v>1015.0</v>
      </c>
      <c r="B126" s="40" t="s">
        <v>168</v>
      </c>
      <c r="C126" s="41" t="s">
        <v>122</v>
      </c>
      <c r="D126" s="42" t="s">
        <v>210</v>
      </c>
      <c r="E126" s="43">
        <v>345707.0</v>
      </c>
      <c r="F126" s="44" t="s">
        <v>210</v>
      </c>
      <c r="G126" s="45">
        <v>3.0</v>
      </c>
      <c r="H126" s="54">
        <v>20.175165783785</v>
      </c>
      <c r="I126" s="47" t="s">
        <v>39</v>
      </c>
      <c r="J126" s="39" t="str">
        <f t="shared" si="2"/>
        <v>069642 - MARA 25</v>
      </c>
      <c r="K126" s="47">
        <f t="shared" si="3"/>
        <v>37.522</v>
      </c>
      <c r="L126" s="48">
        <v>20.56</v>
      </c>
      <c r="M126" s="49">
        <f t="shared" si="4"/>
        <v>37.522</v>
      </c>
      <c r="N126" s="39" t="s">
        <v>40</v>
      </c>
      <c r="O126" s="39" t="s">
        <v>41</v>
      </c>
      <c r="P126" s="39" t="s">
        <v>170</v>
      </c>
      <c r="Q126" s="47" t="str">
        <f t="shared" si="5"/>
        <v>70*100</v>
      </c>
      <c r="R126" s="50">
        <v>1.0</v>
      </c>
      <c r="S126" s="51">
        <v>0.0</v>
      </c>
      <c r="T126" s="51">
        <v>0.0</v>
      </c>
      <c r="U126" s="51">
        <v>0.0</v>
      </c>
      <c r="V126" s="39" t="s">
        <v>43</v>
      </c>
      <c r="W126" s="47" t="str">
        <f t="shared" si="6"/>
        <v>NOIR - 70*100 - PAS DE REHAUSSE - (Largeur 25mm Profondeur 15mm)</v>
      </c>
      <c r="X126" s="50">
        <v>0.0</v>
      </c>
      <c r="Y126" s="52" t="s">
        <v>44</v>
      </c>
      <c r="Z126" s="47" t="str">
        <f t="shared" si="7"/>
        <v>MARA 25 NOIR 70*100 VERRE</v>
      </c>
      <c r="AA126" s="39" t="s">
        <v>45</v>
      </c>
      <c r="AB126" s="39" t="s">
        <v>46</v>
      </c>
      <c r="AC126" s="47" t="str">
        <f t="shared" si="8"/>
        <v>MARA 25 NOIR 70*100 VERRE</v>
      </c>
      <c r="AD126" s="39" t="s">
        <v>47</v>
      </c>
      <c r="AE126" s="39" t="str">
        <f t="shared" si="9"/>
        <v>ROMY  70*100 NOIR VERRE PAS DE REHAUSSE - CADRES CLASSIQUES - Pas de passepartout - Dos classique sans chevalet (Largeur 25mm Profondeur 15mm)</v>
      </c>
      <c r="AF126" s="39" t="str">
        <f t="shared" si="1"/>
        <v>ROMY  70*100 NOIR VERRE PAS DE REHAUSSE - CADRES CLASSIQUES - Pas de passepartout - Dos classique sans chevalet (Largeur 25mm Profondeur 15mm)</v>
      </c>
      <c r="AG126" s="53">
        <f t="shared" si="10"/>
        <v>36.31529841</v>
      </c>
      <c r="AH126" s="39"/>
      <c r="AI126" s="39"/>
      <c r="AJ126" s="39"/>
      <c r="AK126" s="39"/>
      <c r="AL126" s="39"/>
      <c r="AM126" s="39"/>
      <c r="AN126" s="39"/>
      <c r="AO126" s="39"/>
      <c r="AP126" s="39"/>
    </row>
    <row r="127" ht="15.75" customHeight="1">
      <c r="A127" s="39">
        <v>1052.0</v>
      </c>
      <c r="B127" s="40" t="s">
        <v>211</v>
      </c>
      <c r="C127" s="41" t="s">
        <v>37</v>
      </c>
      <c r="D127" s="42" t="s">
        <v>212</v>
      </c>
      <c r="E127" s="43">
        <v>345707.0</v>
      </c>
      <c r="F127" s="44" t="s">
        <v>212</v>
      </c>
      <c r="G127" s="45">
        <v>6.0</v>
      </c>
      <c r="H127" s="54">
        <v>3.735128150603634</v>
      </c>
      <c r="I127" s="47" t="s">
        <v>126</v>
      </c>
      <c r="J127" s="39" t="str">
        <f t="shared" si="2"/>
        <v>069500 - MARA 40</v>
      </c>
      <c r="K127" s="47">
        <f t="shared" si="3"/>
        <v>6.95325</v>
      </c>
      <c r="L127" s="48">
        <v>3.81</v>
      </c>
      <c r="M127" s="49">
        <f t="shared" si="4"/>
        <v>6.95325</v>
      </c>
      <c r="N127" s="39" t="s">
        <v>40</v>
      </c>
      <c r="O127" s="39" t="s">
        <v>41</v>
      </c>
      <c r="P127" s="39" t="s">
        <v>170</v>
      </c>
      <c r="Q127" s="47" t="str">
        <f t="shared" si="5"/>
        <v>10*15</v>
      </c>
      <c r="R127" s="50">
        <v>1.0</v>
      </c>
      <c r="S127" s="51">
        <v>0.0</v>
      </c>
      <c r="T127" s="51">
        <v>1.0</v>
      </c>
      <c r="U127" s="51">
        <v>0.0</v>
      </c>
      <c r="V127" s="39" t="s">
        <v>43</v>
      </c>
      <c r="W127" s="47" t="str">
        <f t="shared" si="6"/>
        <v>NOIR - 10*15 - PAS DE REHAUSSE - (Largeur 40mm Profondeur 15mm)</v>
      </c>
      <c r="X127" s="50">
        <v>0.0</v>
      </c>
      <c r="Y127" s="52" t="s">
        <v>44</v>
      </c>
      <c r="Z127" s="47" t="str">
        <f t="shared" si="7"/>
        <v>MARA 40 NOIR 10*15 VERRE</v>
      </c>
      <c r="AA127" s="39" t="s">
        <v>45</v>
      </c>
      <c r="AB127" s="39" t="s">
        <v>46</v>
      </c>
      <c r="AC127" s="47" t="str">
        <f t="shared" si="8"/>
        <v>MARA 40 NOIR 10*15 VERRE</v>
      </c>
      <c r="AD127" s="39" t="s">
        <v>127</v>
      </c>
      <c r="AE127" s="39" t="str">
        <f t="shared" si="9"/>
        <v>ROMY  10*15 NOIR VERRE PAS DE REHAUSSE - CADRES CLASSIQUES - Pas de passepartout - Dos classique sans chevalet (Largeur 40mm Profondeur 15mm)</v>
      </c>
      <c r="AF127" s="39" t="str">
        <f t="shared" si="1"/>
        <v>ROMY  10*15 NOIR VERRE PAS DE REHAUSSE - CADRES CLASSIQUES - Pas de passepartout - Dos classique sans chevalet (Largeur 40mm Profondeur 15mm)</v>
      </c>
      <c r="AG127" s="53">
        <f t="shared" si="10"/>
        <v>6.723230671</v>
      </c>
      <c r="AH127" s="39"/>
      <c r="AI127" s="39"/>
      <c r="AJ127" s="39"/>
      <c r="AK127" s="39"/>
      <c r="AL127" s="39"/>
      <c r="AM127" s="39"/>
      <c r="AN127" s="39"/>
      <c r="AO127" s="39"/>
      <c r="AP127" s="39"/>
    </row>
    <row r="128" ht="15.75" customHeight="1">
      <c r="A128" s="39">
        <v>1052.0</v>
      </c>
      <c r="B128" s="40" t="s">
        <v>211</v>
      </c>
      <c r="C128" s="41" t="s">
        <v>37</v>
      </c>
      <c r="D128" s="42" t="s">
        <v>213</v>
      </c>
      <c r="E128" s="43">
        <v>345707.0</v>
      </c>
      <c r="F128" s="44" t="s">
        <v>212</v>
      </c>
      <c r="G128" s="45">
        <v>6.0</v>
      </c>
      <c r="H128" s="54">
        <v>3.735128150603634</v>
      </c>
      <c r="I128" s="47" t="s">
        <v>126</v>
      </c>
      <c r="J128" s="39" t="str">
        <f t="shared" si="2"/>
        <v>069500DC - MARA 40</v>
      </c>
      <c r="K128" s="47">
        <f t="shared" si="3"/>
        <v>6.95325</v>
      </c>
      <c r="L128" s="48">
        <v>3.81</v>
      </c>
      <c r="M128" s="49">
        <f t="shared" si="4"/>
        <v>6.95325</v>
      </c>
      <c r="N128" s="39" t="s">
        <v>40</v>
      </c>
      <c r="O128" s="39" t="s">
        <v>41</v>
      </c>
      <c r="P128" s="39" t="s">
        <v>170</v>
      </c>
      <c r="Q128" s="47" t="str">
        <f t="shared" si="5"/>
        <v>10*15</v>
      </c>
      <c r="R128" s="50">
        <v>1.0</v>
      </c>
      <c r="S128" s="51">
        <v>0.0</v>
      </c>
      <c r="T128" s="51">
        <v>1.0</v>
      </c>
      <c r="U128" s="51">
        <v>1.0</v>
      </c>
      <c r="V128" s="39" t="s">
        <v>43</v>
      </c>
      <c r="W128" s="47" t="str">
        <f t="shared" si="6"/>
        <v>NOIR - 10*15 - PAS DE REHAUSSE - (Largeur 40mm Profondeur 15mm)</v>
      </c>
      <c r="X128" s="50">
        <v>0.0</v>
      </c>
      <c r="Y128" s="52" t="s">
        <v>44</v>
      </c>
      <c r="Z128" s="47" t="str">
        <f t="shared" si="7"/>
        <v>MARA 40 NOIR 10*15 VERRE</v>
      </c>
      <c r="AA128" s="39" t="s">
        <v>45</v>
      </c>
      <c r="AB128" s="39" t="s">
        <v>49</v>
      </c>
      <c r="AC128" s="47" t="str">
        <f t="shared" si="8"/>
        <v>MARA 40 NOIR 10*15 VERRE</v>
      </c>
      <c r="AD128" s="39" t="s">
        <v>127</v>
      </c>
      <c r="AE128" s="39" t="str">
        <f t="shared" si="9"/>
        <v>ROMY  10*15 NOIR VERRE PAS DE REHAUSSE - CADRES CLASSIQUES - Pas de passepartout - DOS AVEC CHEVALET (Largeur 40mm Profondeur 15mm)</v>
      </c>
      <c r="AF128" s="39" t="str">
        <f t="shared" si="1"/>
        <v>ROMY  10*15 NOIR VERRE PAS DE REHAUSSE - CADRES CLASSIQUES - Pas de passepartout - DOS AVEC CHEVALET (Largeur 40mm Profondeur 15mm)</v>
      </c>
      <c r="AG128" s="53">
        <f t="shared" si="10"/>
        <v>6.723230671</v>
      </c>
      <c r="AH128" s="39"/>
      <c r="AI128" s="39"/>
      <c r="AJ128" s="39"/>
      <c r="AK128" s="39"/>
      <c r="AL128" s="39"/>
      <c r="AM128" s="39"/>
      <c r="AN128" s="39"/>
      <c r="AO128" s="39"/>
      <c r="AP128" s="39"/>
    </row>
    <row r="129" ht="15.75" customHeight="1">
      <c r="A129" s="39">
        <v>1053.0</v>
      </c>
      <c r="B129" s="40" t="s">
        <v>211</v>
      </c>
      <c r="C129" s="41" t="s">
        <v>50</v>
      </c>
      <c r="D129" s="42" t="s">
        <v>214</v>
      </c>
      <c r="E129" s="43">
        <v>345707.0</v>
      </c>
      <c r="F129" s="44" t="s">
        <v>214</v>
      </c>
      <c r="G129" s="45">
        <v>3.0</v>
      </c>
      <c r="H129" s="54">
        <v>4.011697608727775</v>
      </c>
      <c r="I129" s="47" t="s">
        <v>126</v>
      </c>
      <c r="J129" s="39" t="str">
        <f t="shared" si="2"/>
        <v>069501 - MARA 40</v>
      </c>
      <c r="K129" s="47">
        <f t="shared" si="3"/>
        <v>7.46425</v>
      </c>
      <c r="L129" s="48">
        <v>4.09</v>
      </c>
      <c r="M129" s="49">
        <f t="shared" si="4"/>
        <v>7.46425</v>
      </c>
      <c r="N129" s="39" t="s">
        <v>40</v>
      </c>
      <c r="O129" s="39" t="s">
        <v>41</v>
      </c>
      <c r="P129" s="39" t="s">
        <v>170</v>
      </c>
      <c r="Q129" s="47" t="str">
        <f t="shared" si="5"/>
        <v>11*11</v>
      </c>
      <c r="R129" s="50">
        <v>1.0</v>
      </c>
      <c r="S129" s="51">
        <v>0.0</v>
      </c>
      <c r="T129" s="51">
        <v>0.0</v>
      </c>
      <c r="U129" s="51">
        <v>0.0</v>
      </c>
      <c r="V129" s="39" t="s">
        <v>43</v>
      </c>
      <c r="W129" s="47" t="str">
        <f t="shared" si="6"/>
        <v>NOIR - 11*11 - PAS DE REHAUSSE - (Largeur 40mm Profondeur 15mm)</v>
      </c>
      <c r="X129" s="50">
        <v>0.0</v>
      </c>
      <c r="Y129" s="52" t="s">
        <v>44</v>
      </c>
      <c r="Z129" s="47" t="str">
        <f t="shared" si="7"/>
        <v>MARA 40 NOIR 11*11 VERRE</v>
      </c>
      <c r="AA129" s="39" t="s">
        <v>45</v>
      </c>
      <c r="AB129" s="39" t="s">
        <v>46</v>
      </c>
      <c r="AC129" s="47" t="str">
        <f t="shared" si="8"/>
        <v>MARA 40 NOIR 11*11 VERRE</v>
      </c>
      <c r="AD129" s="39" t="s">
        <v>127</v>
      </c>
      <c r="AE129" s="39" t="str">
        <f t="shared" si="9"/>
        <v>ROMY  11*11 NOIR VERRE PAS DE REHAUSSE - CADRES CLASSIQUES - Pas de passepartout - Dos classique sans chevalet (Largeur 40mm Profondeur 15mm)</v>
      </c>
      <c r="AF129" s="39" t="str">
        <f t="shared" si="1"/>
        <v>ROMY  11*11 NOIR VERRE PAS DE REHAUSSE - CADRES CLASSIQUES - Pas de passepartout - Dos classique sans chevalet (Largeur 40mm Profondeur 15mm)</v>
      </c>
      <c r="AG129" s="53">
        <f t="shared" si="10"/>
        <v>7.221055696</v>
      </c>
      <c r="AH129" s="39"/>
      <c r="AI129" s="39"/>
      <c r="AJ129" s="39"/>
      <c r="AK129" s="39"/>
      <c r="AL129" s="39"/>
      <c r="AM129" s="39"/>
      <c r="AN129" s="39"/>
      <c r="AO129" s="39"/>
      <c r="AP129" s="39"/>
    </row>
    <row r="130" ht="15.75" customHeight="1">
      <c r="A130" s="39">
        <v>1054.0</v>
      </c>
      <c r="B130" s="40" t="s">
        <v>211</v>
      </c>
      <c r="C130" s="41" t="s">
        <v>52</v>
      </c>
      <c r="D130" s="42" t="s">
        <v>215</v>
      </c>
      <c r="E130" s="43">
        <v>345707.0</v>
      </c>
      <c r="F130" s="44" t="s">
        <v>215</v>
      </c>
      <c r="G130" s="45">
        <v>7.0</v>
      </c>
      <c r="H130" s="54">
        <v>4.603729105024764</v>
      </c>
      <c r="I130" s="47" t="s">
        <v>126</v>
      </c>
      <c r="J130" s="39" t="str">
        <f t="shared" si="2"/>
        <v>069503 - MARA 40</v>
      </c>
      <c r="K130" s="47">
        <f t="shared" si="3"/>
        <v>8.55925</v>
      </c>
      <c r="L130" s="48">
        <v>4.69</v>
      </c>
      <c r="M130" s="49">
        <f t="shared" si="4"/>
        <v>8.55925</v>
      </c>
      <c r="N130" s="39" t="s">
        <v>40</v>
      </c>
      <c r="O130" s="39" t="s">
        <v>41</v>
      </c>
      <c r="P130" s="39" t="s">
        <v>170</v>
      </c>
      <c r="Q130" s="47" t="str">
        <f t="shared" si="5"/>
        <v>13*18</v>
      </c>
      <c r="R130" s="50">
        <v>1.0</v>
      </c>
      <c r="S130" s="51">
        <v>0.0</v>
      </c>
      <c r="T130" s="51">
        <v>1.0</v>
      </c>
      <c r="U130" s="51">
        <v>0.0</v>
      </c>
      <c r="V130" s="39" t="s">
        <v>43</v>
      </c>
      <c r="W130" s="47" t="str">
        <f t="shared" si="6"/>
        <v>NOIR - 13*18 - PAS DE REHAUSSE - (Largeur 40mm Profondeur 15mm)</v>
      </c>
      <c r="X130" s="50">
        <v>0.0</v>
      </c>
      <c r="Y130" s="52" t="s">
        <v>44</v>
      </c>
      <c r="Z130" s="47" t="str">
        <f t="shared" si="7"/>
        <v>MARA 40 NOIR 13*18 VERRE</v>
      </c>
      <c r="AA130" s="39" t="s">
        <v>45</v>
      </c>
      <c r="AB130" s="39" t="s">
        <v>46</v>
      </c>
      <c r="AC130" s="47" t="str">
        <f t="shared" si="8"/>
        <v>MARA 40 NOIR 13*18 VERRE</v>
      </c>
      <c r="AD130" s="39" t="s">
        <v>127</v>
      </c>
      <c r="AE130" s="39" t="str">
        <f t="shared" si="9"/>
        <v>ROMY  13*18 NOIR VERRE PAS DE REHAUSSE - CADRES CLASSIQUES - Pas de passepartout - Dos classique sans chevalet (Largeur 40mm Profondeur 15mm)</v>
      </c>
      <c r="AF130" s="39" t="str">
        <f t="shared" si="1"/>
        <v>ROMY  13*18 NOIR VERRE PAS DE REHAUSSE - CADRES CLASSIQUES - Pas de passepartout - Dos classique sans chevalet (Largeur 40mm Profondeur 15mm)</v>
      </c>
      <c r="AG130" s="53">
        <f t="shared" si="10"/>
        <v>8.286712389</v>
      </c>
      <c r="AH130" s="39"/>
      <c r="AI130" s="39"/>
      <c r="AJ130" s="39"/>
      <c r="AK130" s="39"/>
      <c r="AL130" s="39"/>
      <c r="AM130" s="39"/>
      <c r="AN130" s="39"/>
      <c r="AO130" s="39"/>
      <c r="AP130" s="39"/>
    </row>
    <row r="131" ht="15.75" customHeight="1">
      <c r="A131" s="39">
        <v>1054.0</v>
      </c>
      <c r="B131" s="40" t="s">
        <v>211</v>
      </c>
      <c r="C131" s="41" t="s">
        <v>52</v>
      </c>
      <c r="D131" s="42" t="s">
        <v>216</v>
      </c>
      <c r="E131" s="43">
        <v>345707.0</v>
      </c>
      <c r="F131" s="44" t="s">
        <v>215</v>
      </c>
      <c r="G131" s="45">
        <v>7.0</v>
      </c>
      <c r="H131" s="54">
        <v>4.603729105024764</v>
      </c>
      <c r="I131" s="47" t="s">
        <v>126</v>
      </c>
      <c r="J131" s="39" t="str">
        <f t="shared" si="2"/>
        <v>069503DC - MARA 40</v>
      </c>
      <c r="K131" s="47">
        <f t="shared" si="3"/>
        <v>8.55925</v>
      </c>
      <c r="L131" s="48">
        <v>4.69</v>
      </c>
      <c r="M131" s="49">
        <f t="shared" si="4"/>
        <v>8.55925</v>
      </c>
      <c r="N131" s="39" t="s">
        <v>40</v>
      </c>
      <c r="O131" s="39" t="s">
        <v>41</v>
      </c>
      <c r="P131" s="39" t="s">
        <v>170</v>
      </c>
      <c r="Q131" s="47" t="str">
        <f t="shared" si="5"/>
        <v>13*18</v>
      </c>
      <c r="R131" s="50">
        <v>1.0</v>
      </c>
      <c r="S131" s="51">
        <v>0.0</v>
      </c>
      <c r="T131" s="51">
        <v>1.0</v>
      </c>
      <c r="U131" s="51">
        <v>1.0</v>
      </c>
      <c r="V131" s="39" t="s">
        <v>43</v>
      </c>
      <c r="W131" s="47" t="str">
        <f t="shared" si="6"/>
        <v>NOIR - 13*18 - PAS DE REHAUSSE - (Largeur 40mm Profondeur 15mm)</v>
      </c>
      <c r="X131" s="50">
        <v>0.0</v>
      </c>
      <c r="Y131" s="52" t="s">
        <v>44</v>
      </c>
      <c r="Z131" s="47" t="str">
        <f t="shared" si="7"/>
        <v>MARA 40 NOIR 13*18 VERRE</v>
      </c>
      <c r="AA131" s="39" t="s">
        <v>45</v>
      </c>
      <c r="AB131" s="39" t="s">
        <v>49</v>
      </c>
      <c r="AC131" s="47" t="str">
        <f t="shared" si="8"/>
        <v>MARA 40 NOIR 13*18 VERRE</v>
      </c>
      <c r="AD131" s="39" t="s">
        <v>127</v>
      </c>
      <c r="AE131" s="39" t="str">
        <f t="shared" si="9"/>
        <v>ROMY  13*18 NOIR VERRE PAS DE REHAUSSE - CADRES CLASSIQUES - Pas de passepartout - DOS AVEC CHEVALET (Largeur 40mm Profondeur 15mm)</v>
      </c>
      <c r="AF131" s="39" t="str">
        <f t="shared" si="1"/>
        <v>ROMY  13*18 NOIR VERRE PAS DE REHAUSSE - CADRES CLASSIQUES - Pas de passepartout - DOS AVEC CHEVALET (Largeur 40mm Profondeur 15mm)</v>
      </c>
      <c r="AG131" s="53">
        <f t="shared" si="10"/>
        <v>8.286712389</v>
      </c>
      <c r="AH131" s="39"/>
      <c r="AI131" s="39"/>
      <c r="AJ131" s="39"/>
      <c r="AK131" s="39"/>
      <c r="AL131" s="39"/>
      <c r="AM131" s="39"/>
      <c r="AN131" s="39"/>
      <c r="AO131" s="39"/>
      <c r="AP131" s="39"/>
    </row>
    <row r="132" ht="15.75" customHeight="1">
      <c r="A132" s="39">
        <v>1055.0</v>
      </c>
      <c r="B132" s="40" t="s">
        <v>211</v>
      </c>
      <c r="C132" s="41" t="s">
        <v>55</v>
      </c>
      <c r="D132" s="42" t="s">
        <v>217</v>
      </c>
      <c r="E132" s="43">
        <v>345707.0</v>
      </c>
      <c r="F132" s="44" t="s">
        <v>217</v>
      </c>
      <c r="G132" s="45">
        <v>1.0</v>
      </c>
      <c r="H132" s="54">
        <v>4.281064737213264</v>
      </c>
      <c r="I132" s="47" t="s">
        <v>126</v>
      </c>
      <c r="J132" s="39" t="str">
        <f t="shared" si="2"/>
        <v>069505 - MARA 40</v>
      </c>
      <c r="K132" s="47">
        <f t="shared" si="3"/>
        <v>7.957</v>
      </c>
      <c r="L132" s="48">
        <v>4.36</v>
      </c>
      <c r="M132" s="49">
        <f t="shared" si="4"/>
        <v>7.957</v>
      </c>
      <c r="N132" s="39" t="s">
        <v>40</v>
      </c>
      <c r="O132" s="39" t="s">
        <v>41</v>
      </c>
      <c r="P132" s="39" t="s">
        <v>170</v>
      </c>
      <c r="Q132" s="47" t="str">
        <f t="shared" si="5"/>
        <v>14*14</v>
      </c>
      <c r="R132" s="50">
        <v>1.0</v>
      </c>
      <c r="S132" s="51">
        <v>0.0</v>
      </c>
      <c r="T132" s="51">
        <v>0.0</v>
      </c>
      <c r="U132" s="51">
        <v>0.0</v>
      </c>
      <c r="V132" s="39" t="s">
        <v>43</v>
      </c>
      <c r="W132" s="47" t="str">
        <f t="shared" si="6"/>
        <v>NOIR - 14*14 - PAS DE REHAUSSE - (Largeur 40mm Profondeur 15mm)</v>
      </c>
      <c r="X132" s="50">
        <v>0.0</v>
      </c>
      <c r="Y132" s="52" t="s">
        <v>44</v>
      </c>
      <c r="Z132" s="47" t="str">
        <f t="shared" si="7"/>
        <v>MARA 40 NOIR 14*14 VERRE</v>
      </c>
      <c r="AA132" s="39" t="s">
        <v>45</v>
      </c>
      <c r="AB132" s="39" t="s">
        <v>46</v>
      </c>
      <c r="AC132" s="47" t="str">
        <f t="shared" si="8"/>
        <v>MARA 40 NOIR 14*14 VERRE</v>
      </c>
      <c r="AD132" s="39" t="s">
        <v>127</v>
      </c>
      <c r="AE132" s="39" t="str">
        <f t="shared" si="9"/>
        <v>ROMY  14*14 NOIR VERRE PAS DE REHAUSSE - CADRES CLASSIQUES - Pas de passepartout - Dos classique sans chevalet (Largeur 40mm Profondeur 15mm)</v>
      </c>
      <c r="AF132" s="39" t="str">
        <f t="shared" si="1"/>
        <v>ROMY  14*14 NOIR VERRE PAS DE REHAUSSE - CADRES CLASSIQUES - Pas de passepartout - Dos classique sans chevalet (Largeur 40mm Profondeur 15mm)</v>
      </c>
      <c r="AG132" s="53">
        <f t="shared" si="10"/>
        <v>7.705916527</v>
      </c>
      <c r="AH132" s="39"/>
      <c r="AI132" s="39"/>
      <c r="AJ132" s="39"/>
      <c r="AK132" s="39"/>
      <c r="AL132" s="39"/>
      <c r="AM132" s="39"/>
      <c r="AN132" s="39"/>
      <c r="AO132" s="39"/>
      <c r="AP132" s="39"/>
    </row>
    <row r="133" ht="15.75" customHeight="1">
      <c r="A133" s="39">
        <v>1056.0</v>
      </c>
      <c r="B133" s="40" t="s">
        <v>211</v>
      </c>
      <c r="C133" s="41" t="s">
        <v>57</v>
      </c>
      <c r="D133" s="42" t="s">
        <v>218</v>
      </c>
      <c r="E133" s="43">
        <v>345707.0</v>
      </c>
      <c r="F133" s="44" t="s">
        <v>218</v>
      </c>
      <c r="G133" s="45">
        <v>8.0</v>
      </c>
      <c r="H133" s="54">
        <v>5.1156</v>
      </c>
      <c r="I133" s="47" t="s">
        <v>126</v>
      </c>
      <c r="J133" s="39" t="str">
        <f t="shared" si="2"/>
        <v>054218 - MARA 40</v>
      </c>
      <c r="K133" s="47">
        <f t="shared" si="3"/>
        <v>9.50825</v>
      </c>
      <c r="L133" s="48">
        <v>5.21</v>
      </c>
      <c r="M133" s="49">
        <f t="shared" si="4"/>
        <v>9.50825</v>
      </c>
      <c r="N133" s="39" t="s">
        <v>40</v>
      </c>
      <c r="O133" s="39" t="s">
        <v>41</v>
      </c>
      <c r="P133" s="39" t="s">
        <v>170</v>
      </c>
      <c r="Q133" s="47" t="str">
        <f t="shared" si="5"/>
        <v>15*20</v>
      </c>
      <c r="R133" s="50">
        <v>1.0</v>
      </c>
      <c r="S133" s="51">
        <v>0.0</v>
      </c>
      <c r="T133" s="51">
        <v>0.0</v>
      </c>
      <c r="U133" s="51">
        <v>0.0</v>
      </c>
      <c r="V133" s="39" t="s">
        <v>43</v>
      </c>
      <c r="W133" s="47" t="str">
        <f t="shared" si="6"/>
        <v>NOIR - 15*20 - PAS DE REHAUSSE - (Largeur 40mm Profondeur 15mm)</v>
      </c>
      <c r="X133" s="50">
        <v>0.0</v>
      </c>
      <c r="Y133" s="52" t="s">
        <v>44</v>
      </c>
      <c r="Z133" s="47" t="str">
        <f t="shared" si="7"/>
        <v>MARA 40 NOIR 15*20 VERRE</v>
      </c>
      <c r="AA133" s="39" t="s">
        <v>45</v>
      </c>
      <c r="AB133" s="39" t="s">
        <v>46</v>
      </c>
      <c r="AC133" s="47" t="str">
        <f t="shared" si="8"/>
        <v>MARA 40 NOIR 15*20 VERRE</v>
      </c>
      <c r="AD133" s="39" t="s">
        <v>127</v>
      </c>
      <c r="AE133" s="39" t="str">
        <f t="shared" si="9"/>
        <v>ROMY  15*20 NOIR VERRE PAS DE REHAUSSE - CADRES CLASSIQUES - Pas de passepartout - Dos classique sans chevalet (Largeur 40mm Profondeur 15mm)</v>
      </c>
      <c r="AF133" s="39" t="str">
        <f t="shared" si="1"/>
        <v>ROMY  15*20 NOIR VERRE PAS DE REHAUSSE - CADRES CLASSIQUES - Pas de passepartout - Dos classique sans chevalet (Largeur 40mm Profondeur 15mm)</v>
      </c>
      <c r="AG133" s="53">
        <f t="shared" si="10"/>
        <v>9.20808</v>
      </c>
      <c r="AH133" s="39"/>
      <c r="AI133" s="39"/>
      <c r="AJ133" s="39"/>
      <c r="AK133" s="39"/>
      <c r="AL133" s="39"/>
      <c r="AM133" s="39"/>
      <c r="AN133" s="39"/>
      <c r="AO133" s="39"/>
      <c r="AP133" s="39"/>
    </row>
    <row r="134" ht="15.75" customHeight="1">
      <c r="A134" s="39">
        <v>1057.0</v>
      </c>
      <c r="B134" s="40" t="s">
        <v>211</v>
      </c>
      <c r="C134" s="41" t="s">
        <v>59</v>
      </c>
      <c r="D134" s="42" t="s">
        <v>219</v>
      </c>
      <c r="E134" s="43">
        <v>345707.0</v>
      </c>
      <c r="F134" s="44" t="s">
        <v>219</v>
      </c>
      <c r="G134" s="45">
        <v>8.0</v>
      </c>
      <c r="H134" s="54">
        <v>5.110773111585688</v>
      </c>
      <c r="I134" s="47" t="s">
        <v>126</v>
      </c>
      <c r="J134" s="39" t="str">
        <f t="shared" si="2"/>
        <v>069506 - MARA 40</v>
      </c>
      <c r="K134" s="47">
        <f t="shared" si="3"/>
        <v>9.50825</v>
      </c>
      <c r="L134" s="48">
        <v>5.21</v>
      </c>
      <c r="M134" s="49">
        <f t="shared" si="4"/>
        <v>9.50825</v>
      </c>
      <c r="N134" s="39" t="s">
        <v>40</v>
      </c>
      <c r="O134" s="39" t="s">
        <v>41</v>
      </c>
      <c r="P134" s="39" t="s">
        <v>170</v>
      </c>
      <c r="Q134" s="47" t="str">
        <f t="shared" si="5"/>
        <v>15*21</v>
      </c>
      <c r="R134" s="50">
        <v>1.0</v>
      </c>
      <c r="S134" s="51">
        <v>0.0</v>
      </c>
      <c r="T134" s="51">
        <v>1.0</v>
      </c>
      <c r="U134" s="51">
        <v>0.0</v>
      </c>
      <c r="V134" s="39" t="s">
        <v>43</v>
      </c>
      <c r="W134" s="47" t="str">
        <f t="shared" si="6"/>
        <v>NOIR - 15*21 - PAS DE REHAUSSE - (Largeur 40mm Profondeur 15mm)</v>
      </c>
      <c r="X134" s="50">
        <v>0.0</v>
      </c>
      <c r="Y134" s="52" t="s">
        <v>44</v>
      </c>
      <c r="Z134" s="47" t="str">
        <f t="shared" si="7"/>
        <v>MARA 40 NOIR 15*21 VERRE</v>
      </c>
      <c r="AA134" s="39" t="s">
        <v>45</v>
      </c>
      <c r="AB134" s="39" t="s">
        <v>46</v>
      </c>
      <c r="AC134" s="47" t="str">
        <f t="shared" si="8"/>
        <v>MARA 40 NOIR 15*21 VERRE</v>
      </c>
      <c r="AD134" s="39" t="s">
        <v>127</v>
      </c>
      <c r="AE134" s="39" t="str">
        <f t="shared" si="9"/>
        <v>ROMY  15*21 NOIR VERRE PAS DE REHAUSSE - CADRES CLASSIQUES - Pas de passepartout - Dos classique sans chevalet (Largeur 40mm Profondeur 15mm)</v>
      </c>
      <c r="AF134" s="39" t="str">
        <f t="shared" si="1"/>
        <v>ROMY  15*21 NOIR VERRE PAS DE REHAUSSE - CADRES CLASSIQUES - Pas de passepartout - Dos classique sans chevalet (Largeur 40mm Profondeur 15mm)</v>
      </c>
      <c r="AG134" s="53">
        <f t="shared" si="10"/>
        <v>9.199391601</v>
      </c>
      <c r="AH134" s="39"/>
      <c r="AI134" s="39"/>
      <c r="AJ134" s="39"/>
      <c r="AK134" s="39"/>
      <c r="AL134" s="39"/>
      <c r="AM134" s="39"/>
      <c r="AN134" s="39"/>
      <c r="AO134" s="39"/>
      <c r="AP134" s="39"/>
    </row>
    <row r="135" ht="15.75" customHeight="1">
      <c r="A135" s="39">
        <v>1057.0</v>
      </c>
      <c r="B135" s="40" t="s">
        <v>211</v>
      </c>
      <c r="C135" s="41" t="s">
        <v>59</v>
      </c>
      <c r="D135" s="42" t="s">
        <v>220</v>
      </c>
      <c r="E135" s="43">
        <v>345707.0</v>
      </c>
      <c r="F135" s="44" t="s">
        <v>219</v>
      </c>
      <c r="G135" s="45">
        <v>8.0</v>
      </c>
      <c r="H135" s="54">
        <v>5.110773111585688</v>
      </c>
      <c r="I135" s="47" t="s">
        <v>126</v>
      </c>
      <c r="J135" s="39" t="str">
        <f t="shared" si="2"/>
        <v>069506DC - MARA 40</v>
      </c>
      <c r="K135" s="47">
        <f t="shared" si="3"/>
        <v>9.50825</v>
      </c>
      <c r="L135" s="48">
        <v>5.21</v>
      </c>
      <c r="M135" s="49">
        <f t="shared" si="4"/>
        <v>9.50825</v>
      </c>
      <c r="N135" s="39" t="s">
        <v>40</v>
      </c>
      <c r="O135" s="39" t="s">
        <v>41</v>
      </c>
      <c r="P135" s="39" t="s">
        <v>170</v>
      </c>
      <c r="Q135" s="47" t="str">
        <f t="shared" si="5"/>
        <v>15*21</v>
      </c>
      <c r="R135" s="50">
        <v>1.0</v>
      </c>
      <c r="S135" s="51">
        <v>0.0</v>
      </c>
      <c r="T135" s="51">
        <v>1.0</v>
      </c>
      <c r="U135" s="51">
        <v>1.0</v>
      </c>
      <c r="V135" s="39" t="s">
        <v>43</v>
      </c>
      <c r="W135" s="47" t="str">
        <f t="shared" si="6"/>
        <v>NOIR - 15*21 - PAS DE REHAUSSE - (Largeur 40mm Profondeur 15mm)</v>
      </c>
      <c r="X135" s="50">
        <v>0.0</v>
      </c>
      <c r="Y135" s="52" t="s">
        <v>44</v>
      </c>
      <c r="Z135" s="47" t="str">
        <f t="shared" si="7"/>
        <v>MARA 40 NOIR 15*21 VERRE</v>
      </c>
      <c r="AA135" s="39" t="s">
        <v>45</v>
      </c>
      <c r="AB135" s="39" t="s">
        <v>49</v>
      </c>
      <c r="AC135" s="47" t="str">
        <f t="shared" si="8"/>
        <v>MARA 40 NOIR 15*21 VERRE</v>
      </c>
      <c r="AD135" s="39" t="s">
        <v>127</v>
      </c>
      <c r="AE135" s="39" t="str">
        <f t="shared" si="9"/>
        <v>ROMY  15*21 NOIR VERRE PAS DE REHAUSSE - CADRES CLASSIQUES - Pas de passepartout - DOS AVEC CHEVALET (Largeur 40mm Profondeur 15mm)</v>
      </c>
      <c r="AF135" s="39" t="str">
        <f t="shared" si="1"/>
        <v>ROMY  15*21 NOIR VERRE PAS DE REHAUSSE - CADRES CLASSIQUES - Pas de passepartout - DOS AVEC CHEVALET (Largeur 40mm Profondeur 15mm)</v>
      </c>
      <c r="AG135" s="53">
        <f t="shared" si="10"/>
        <v>9.199391601</v>
      </c>
      <c r="AH135" s="39"/>
      <c r="AI135" s="39"/>
      <c r="AJ135" s="39"/>
      <c r="AK135" s="39"/>
      <c r="AL135" s="39"/>
      <c r="AM135" s="39"/>
      <c r="AN135" s="39"/>
      <c r="AO135" s="39"/>
      <c r="AP135" s="39"/>
    </row>
    <row r="136" ht="15.75" customHeight="1">
      <c r="A136" s="39">
        <v>1058.0</v>
      </c>
      <c r="B136" s="40" t="s">
        <v>211</v>
      </c>
      <c r="C136" s="41" t="s">
        <v>62</v>
      </c>
      <c r="D136" s="42" t="s">
        <v>221</v>
      </c>
      <c r="E136" s="43">
        <v>345707.0</v>
      </c>
      <c r="F136" s="44" t="s">
        <v>221</v>
      </c>
      <c r="G136" s="45">
        <v>5.0</v>
      </c>
      <c r="H136" s="54">
        <v>5.733054392365007</v>
      </c>
      <c r="I136" s="47" t="s">
        <v>126</v>
      </c>
      <c r="J136" s="39" t="str">
        <f t="shared" si="2"/>
        <v>069507 - MARA 40</v>
      </c>
      <c r="K136" s="47">
        <f t="shared" si="3"/>
        <v>10.658</v>
      </c>
      <c r="L136" s="48">
        <v>5.84</v>
      </c>
      <c r="M136" s="49">
        <f t="shared" si="4"/>
        <v>10.658</v>
      </c>
      <c r="N136" s="39" t="s">
        <v>40</v>
      </c>
      <c r="O136" s="39" t="s">
        <v>41</v>
      </c>
      <c r="P136" s="39" t="s">
        <v>170</v>
      </c>
      <c r="Q136" s="47" t="str">
        <f t="shared" si="5"/>
        <v>18*24</v>
      </c>
      <c r="R136" s="50">
        <v>1.0</v>
      </c>
      <c r="S136" s="51">
        <v>0.0</v>
      </c>
      <c r="T136" s="51">
        <v>1.0</v>
      </c>
      <c r="U136" s="51">
        <v>0.0</v>
      </c>
      <c r="V136" s="39" t="s">
        <v>43</v>
      </c>
      <c r="W136" s="47" t="str">
        <f t="shared" si="6"/>
        <v>NOIR - 18*24 - PAS DE REHAUSSE - (Largeur 40mm Profondeur 15mm)</v>
      </c>
      <c r="X136" s="50">
        <v>0.0</v>
      </c>
      <c r="Y136" s="52" t="s">
        <v>44</v>
      </c>
      <c r="Z136" s="47" t="str">
        <f t="shared" si="7"/>
        <v>MARA 40 NOIR 18*24 VERRE</v>
      </c>
      <c r="AA136" s="39" t="s">
        <v>45</v>
      </c>
      <c r="AB136" s="39" t="s">
        <v>46</v>
      </c>
      <c r="AC136" s="47" t="str">
        <f t="shared" si="8"/>
        <v>MARA 40 NOIR 18*24 VERRE</v>
      </c>
      <c r="AD136" s="39" t="s">
        <v>127</v>
      </c>
      <c r="AE136" s="39" t="str">
        <f t="shared" si="9"/>
        <v>ROMY  18*24 NOIR VERRE PAS DE REHAUSSE - CADRES CLASSIQUES - Pas de passepartout - Dos classique sans chevalet (Largeur 40mm Profondeur 15mm)</v>
      </c>
      <c r="AF136" s="39" t="str">
        <f t="shared" si="1"/>
        <v>ROMY  18*24 NOIR VERRE PAS DE REHAUSSE - CADRES CLASSIQUES - Pas de passepartout - Dos classique sans chevalet (Largeur 40mm Profondeur 15mm)</v>
      </c>
      <c r="AG136" s="53">
        <f t="shared" si="10"/>
        <v>10.31949791</v>
      </c>
      <c r="AH136" s="39"/>
      <c r="AI136" s="39"/>
      <c r="AJ136" s="39"/>
      <c r="AK136" s="39"/>
      <c r="AL136" s="39"/>
      <c r="AM136" s="39"/>
      <c r="AN136" s="39"/>
      <c r="AO136" s="39"/>
      <c r="AP136" s="39"/>
    </row>
    <row r="137" ht="15.75" customHeight="1">
      <c r="A137" s="39">
        <v>1058.0</v>
      </c>
      <c r="B137" s="40" t="s">
        <v>211</v>
      </c>
      <c r="C137" s="41" t="s">
        <v>62</v>
      </c>
      <c r="D137" s="42" t="s">
        <v>222</v>
      </c>
      <c r="E137" s="43">
        <v>345707.0</v>
      </c>
      <c r="F137" s="44" t="s">
        <v>221</v>
      </c>
      <c r="G137" s="45">
        <v>5.0</v>
      </c>
      <c r="H137" s="54">
        <v>5.733054392365007</v>
      </c>
      <c r="I137" s="47" t="s">
        <v>126</v>
      </c>
      <c r="J137" s="39" t="str">
        <f t="shared" si="2"/>
        <v>069507DC - MARA 40</v>
      </c>
      <c r="K137" s="47">
        <f t="shared" si="3"/>
        <v>10.658</v>
      </c>
      <c r="L137" s="48">
        <v>5.84</v>
      </c>
      <c r="M137" s="49">
        <f t="shared" si="4"/>
        <v>10.658</v>
      </c>
      <c r="N137" s="39" t="s">
        <v>40</v>
      </c>
      <c r="O137" s="39" t="s">
        <v>41</v>
      </c>
      <c r="P137" s="39" t="s">
        <v>170</v>
      </c>
      <c r="Q137" s="47" t="str">
        <f t="shared" si="5"/>
        <v>18*24</v>
      </c>
      <c r="R137" s="50">
        <v>1.0</v>
      </c>
      <c r="S137" s="51">
        <v>0.0</v>
      </c>
      <c r="T137" s="51">
        <v>1.0</v>
      </c>
      <c r="U137" s="51">
        <v>1.0</v>
      </c>
      <c r="V137" s="39" t="s">
        <v>43</v>
      </c>
      <c r="W137" s="47" t="str">
        <f t="shared" si="6"/>
        <v>NOIR - 18*24 - PAS DE REHAUSSE - (Largeur 40mm Profondeur 15mm)</v>
      </c>
      <c r="X137" s="50">
        <v>0.0</v>
      </c>
      <c r="Y137" s="52" t="s">
        <v>44</v>
      </c>
      <c r="Z137" s="47" t="str">
        <f t="shared" si="7"/>
        <v>MARA 40 NOIR 18*24 VERRE</v>
      </c>
      <c r="AA137" s="39" t="s">
        <v>45</v>
      </c>
      <c r="AB137" s="39" t="s">
        <v>49</v>
      </c>
      <c r="AC137" s="47" t="str">
        <f t="shared" si="8"/>
        <v>MARA 40 NOIR 18*24 VERRE</v>
      </c>
      <c r="AD137" s="39" t="s">
        <v>127</v>
      </c>
      <c r="AE137" s="39" t="str">
        <f t="shared" si="9"/>
        <v>ROMY  18*24 NOIR VERRE PAS DE REHAUSSE - CADRES CLASSIQUES - Pas de passepartout - DOS AVEC CHEVALET (Largeur 40mm Profondeur 15mm)</v>
      </c>
      <c r="AF137" s="39" t="str">
        <f t="shared" si="1"/>
        <v>ROMY  18*24 NOIR VERRE PAS DE REHAUSSE - CADRES CLASSIQUES - Pas de passepartout - DOS AVEC CHEVALET (Largeur 40mm Profondeur 15mm)</v>
      </c>
      <c r="AG137" s="53">
        <f t="shared" si="10"/>
        <v>10.31949791</v>
      </c>
      <c r="AH137" s="39"/>
      <c r="AI137" s="39"/>
      <c r="AJ137" s="39"/>
      <c r="AK137" s="39"/>
      <c r="AL137" s="39"/>
      <c r="AM137" s="39"/>
      <c r="AN137" s="39"/>
      <c r="AO137" s="39"/>
      <c r="AP137" s="39"/>
    </row>
    <row r="138" ht="15.75" customHeight="1">
      <c r="A138" s="39">
        <v>1059.0</v>
      </c>
      <c r="B138" s="40" t="s">
        <v>211</v>
      </c>
      <c r="C138" s="41" t="s">
        <v>65</v>
      </c>
      <c r="D138" s="42" t="s">
        <v>223</v>
      </c>
      <c r="E138" s="43">
        <v>345707.0</v>
      </c>
      <c r="F138" s="44" t="s">
        <v>223</v>
      </c>
      <c r="G138" s="45">
        <v>2.0</v>
      </c>
      <c r="H138" s="54">
        <v>6.862379679705252</v>
      </c>
      <c r="I138" s="47" t="s">
        <v>126</v>
      </c>
      <c r="J138" s="39" t="str">
        <f t="shared" si="2"/>
        <v>069508 - MARA 40</v>
      </c>
      <c r="K138" s="47">
        <f t="shared" si="3"/>
        <v>12.75675</v>
      </c>
      <c r="L138" s="48">
        <v>6.99</v>
      </c>
      <c r="M138" s="49">
        <f t="shared" si="4"/>
        <v>12.75675</v>
      </c>
      <c r="N138" s="39" t="s">
        <v>40</v>
      </c>
      <c r="O138" s="39" t="s">
        <v>41</v>
      </c>
      <c r="P138" s="39" t="s">
        <v>170</v>
      </c>
      <c r="Q138" s="47" t="str">
        <f t="shared" si="5"/>
        <v>18*35</v>
      </c>
      <c r="R138" s="50">
        <v>1.0</v>
      </c>
      <c r="S138" s="51">
        <v>0.0</v>
      </c>
      <c r="T138" s="51">
        <v>0.0</v>
      </c>
      <c r="U138" s="51">
        <v>0.0</v>
      </c>
      <c r="V138" s="39" t="s">
        <v>43</v>
      </c>
      <c r="W138" s="47" t="str">
        <f t="shared" si="6"/>
        <v>NOIR - 18*35 - PAS DE REHAUSSE - (Largeur 40mm Profondeur 15mm)</v>
      </c>
      <c r="X138" s="50">
        <v>0.0</v>
      </c>
      <c r="Y138" s="52" t="s">
        <v>44</v>
      </c>
      <c r="Z138" s="47" t="str">
        <f t="shared" si="7"/>
        <v>MARA 40 NOIR 18*35 VERRE</v>
      </c>
      <c r="AA138" s="39" t="s">
        <v>45</v>
      </c>
      <c r="AB138" s="39" t="s">
        <v>46</v>
      </c>
      <c r="AC138" s="47" t="str">
        <f t="shared" si="8"/>
        <v>MARA 40 NOIR 18*35 VERRE</v>
      </c>
      <c r="AD138" s="39" t="s">
        <v>127</v>
      </c>
      <c r="AE138" s="39" t="str">
        <f t="shared" si="9"/>
        <v>ROMY  18*35 NOIR VERRE PAS DE REHAUSSE - CADRES CLASSIQUES - Pas de passepartout - Dos classique sans chevalet (Largeur 40mm Profondeur 15mm)</v>
      </c>
      <c r="AF138" s="39" t="str">
        <f t="shared" si="1"/>
        <v>ROMY  18*35 NOIR VERRE PAS DE REHAUSSE - CADRES CLASSIQUES - Pas de passepartout - Dos classique sans chevalet (Largeur 40mm Profondeur 15mm)</v>
      </c>
      <c r="AG138" s="53">
        <f t="shared" si="10"/>
        <v>12.35228342</v>
      </c>
      <c r="AH138" s="39"/>
      <c r="AI138" s="39"/>
      <c r="AJ138" s="39"/>
      <c r="AK138" s="39"/>
      <c r="AL138" s="39"/>
      <c r="AM138" s="39"/>
      <c r="AN138" s="39"/>
      <c r="AO138" s="39"/>
      <c r="AP138" s="39"/>
    </row>
    <row r="139" ht="15.75" customHeight="1">
      <c r="A139" s="39">
        <v>1060.0</v>
      </c>
      <c r="B139" s="40" t="s">
        <v>211</v>
      </c>
      <c r="C139" s="41" t="s">
        <v>67</v>
      </c>
      <c r="D139" s="42" t="s">
        <v>224</v>
      </c>
      <c r="E139" s="43">
        <v>345707.0</v>
      </c>
      <c r="F139" s="44" t="s">
        <v>224</v>
      </c>
      <c r="G139" s="45">
        <v>9.0</v>
      </c>
      <c r="H139" s="54">
        <v>5.53427009433828</v>
      </c>
      <c r="I139" s="47" t="s">
        <v>126</v>
      </c>
      <c r="J139" s="39" t="str">
        <f t="shared" si="2"/>
        <v>069509 - MARA 40</v>
      </c>
      <c r="K139" s="47">
        <f t="shared" si="3"/>
        <v>10.293</v>
      </c>
      <c r="L139" s="48">
        <v>5.64</v>
      </c>
      <c r="M139" s="49">
        <f t="shared" si="4"/>
        <v>10.293</v>
      </c>
      <c r="N139" s="39" t="s">
        <v>40</v>
      </c>
      <c r="O139" s="39" t="s">
        <v>41</v>
      </c>
      <c r="P139" s="39" t="s">
        <v>170</v>
      </c>
      <c r="Q139" s="47" t="str">
        <f t="shared" si="5"/>
        <v>20*20</v>
      </c>
      <c r="R139" s="50">
        <v>1.0</v>
      </c>
      <c r="S139" s="51">
        <v>0.0</v>
      </c>
      <c r="T139" s="51">
        <v>0.0</v>
      </c>
      <c r="U139" s="51">
        <v>0.0</v>
      </c>
      <c r="V139" s="39" t="s">
        <v>43</v>
      </c>
      <c r="W139" s="47" t="str">
        <f t="shared" si="6"/>
        <v>NOIR - 20*20 - PAS DE REHAUSSE - (Largeur 40mm Profondeur 15mm)</v>
      </c>
      <c r="X139" s="50">
        <v>0.0</v>
      </c>
      <c r="Y139" s="52" t="s">
        <v>44</v>
      </c>
      <c r="Z139" s="47" t="str">
        <f t="shared" si="7"/>
        <v>MARA 40 NOIR 20*20 VERRE</v>
      </c>
      <c r="AA139" s="39" t="s">
        <v>45</v>
      </c>
      <c r="AB139" s="39" t="s">
        <v>46</v>
      </c>
      <c r="AC139" s="47" t="str">
        <f t="shared" si="8"/>
        <v>MARA 40 NOIR 20*20 VERRE</v>
      </c>
      <c r="AD139" s="39" t="s">
        <v>127</v>
      </c>
      <c r="AE139" s="39" t="str">
        <f t="shared" si="9"/>
        <v>ROMY  20*20 NOIR VERRE PAS DE REHAUSSE - CADRES CLASSIQUES - Pas de passepartout - Dos classique sans chevalet (Largeur 40mm Profondeur 15mm)</v>
      </c>
      <c r="AF139" s="39" t="str">
        <f t="shared" si="1"/>
        <v>ROMY  20*20 NOIR VERRE PAS DE REHAUSSE - CADRES CLASSIQUES - Pas de passepartout - Dos classique sans chevalet (Largeur 40mm Profondeur 15mm)</v>
      </c>
      <c r="AG139" s="53">
        <f t="shared" si="10"/>
        <v>9.96168617</v>
      </c>
      <c r="AH139" s="39"/>
      <c r="AI139" s="39"/>
      <c r="AJ139" s="39"/>
      <c r="AK139" s="39"/>
      <c r="AL139" s="39"/>
      <c r="AM139" s="39"/>
      <c r="AN139" s="39"/>
      <c r="AO139" s="39"/>
      <c r="AP139" s="39"/>
    </row>
    <row r="140" ht="15.75" customHeight="1">
      <c r="A140" s="39">
        <v>1061.0</v>
      </c>
      <c r="B140" s="40" t="s">
        <v>211</v>
      </c>
      <c r="C140" s="41" t="s">
        <v>69</v>
      </c>
      <c r="D140" s="42" t="s">
        <v>225</v>
      </c>
      <c r="E140" s="43">
        <v>345707.0</v>
      </c>
      <c r="F140" s="44" t="s">
        <v>225</v>
      </c>
      <c r="G140" s="45">
        <v>5.0</v>
      </c>
      <c r="H140" s="54">
        <v>6.584369755653379</v>
      </c>
      <c r="I140" s="47" t="s">
        <v>126</v>
      </c>
      <c r="J140" s="39" t="str">
        <f t="shared" si="2"/>
        <v>069510 - MARA 40</v>
      </c>
      <c r="K140" s="47">
        <f t="shared" si="3"/>
        <v>12.24575</v>
      </c>
      <c r="L140" s="48">
        <v>6.71</v>
      </c>
      <c r="M140" s="49">
        <f t="shared" si="4"/>
        <v>12.24575</v>
      </c>
      <c r="N140" s="39" t="s">
        <v>40</v>
      </c>
      <c r="O140" s="39" t="s">
        <v>41</v>
      </c>
      <c r="P140" s="39" t="s">
        <v>170</v>
      </c>
      <c r="Q140" s="47" t="str">
        <f t="shared" si="5"/>
        <v>20*30</v>
      </c>
      <c r="R140" s="50">
        <v>1.0</v>
      </c>
      <c r="S140" s="51">
        <v>0.0</v>
      </c>
      <c r="T140" s="51">
        <v>1.0</v>
      </c>
      <c r="U140" s="51">
        <v>0.0</v>
      </c>
      <c r="V140" s="39" t="s">
        <v>43</v>
      </c>
      <c r="W140" s="47" t="str">
        <f t="shared" si="6"/>
        <v>NOIR - 20*30 - PAS DE REHAUSSE - (Largeur 40mm Profondeur 15mm)</v>
      </c>
      <c r="X140" s="50">
        <v>0.0</v>
      </c>
      <c r="Y140" s="52" t="s">
        <v>44</v>
      </c>
      <c r="Z140" s="47" t="str">
        <f t="shared" si="7"/>
        <v>MARA 40 NOIR 20*30 VERRE</v>
      </c>
      <c r="AA140" s="39" t="s">
        <v>45</v>
      </c>
      <c r="AB140" s="39" t="s">
        <v>46</v>
      </c>
      <c r="AC140" s="47" t="str">
        <f t="shared" si="8"/>
        <v>MARA 40 NOIR 20*30 VERRE</v>
      </c>
      <c r="AD140" s="39" t="s">
        <v>127</v>
      </c>
      <c r="AE140" s="39" t="str">
        <f t="shared" si="9"/>
        <v>ROMY  20*30 NOIR VERRE PAS DE REHAUSSE - CADRES CLASSIQUES - Pas de passepartout - Dos classique sans chevalet (Largeur 40mm Profondeur 15mm)</v>
      </c>
      <c r="AF140" s="39" t="str">
        <f t="shared" si="1"/>
        <v>ROMY  20*30 NOIR VERRE PAS DE REHAUSSE - CADRES CLASSIQUES - Pas de passepartout - Dos classique sans chevalet (Largeur 40mm Profondeur 15mm)</v>
      </c>
      <c r="AG140" s="53">
        <f t="shared" si="10"/>
        <v>11.85186556</v>
      </c>
      <c r="AH140" s="39"/>
      <c r="AI140" s="39"/>
      <c r="AJ140" s="39"/>
      <c r="AK140" s="39"/>
      <c r="AL140" s="39"/>
      <c r="AM140" s="39"/>
      <c r="AN140" s="39"/>
      <c r="AO140" s="39"/>
      <c r="AP140" s="39"/>
    </row>
    <row r="141" ht="15.75" customHeight="1">
      <c r="A141" s="39">
        <v>1061.0</v>
      </c>
      <c r="B141" s="40" t="s">
        <v>211</v>
      </c>
      <c r="C141" s="41" t="s">
        <v>69</v>
      </c>
      <c r="D141" s="42" t="s">
        <v>226</v>
      </c>
      <c r="E141" s="43">
        <v>345707.0</v>
      </c>
      <c r="F141" s="44" t="s">
        <v>225</v>
      </c>
      <c r="G141" s="45">
        <v>5.0</v>
      </c>
      <c r="H141" s="54">
        <v>6.584369755653379</v>
      </c>
      <c r="I141" s="47" t="s">
        <v>126</v>
      </c>
      <c r="J141" s="39" t="str">
        <f t="shared" si="2"/>
        <v>069510DC - MARA 40</v>
      </c>
      <c r="K141" s="47">
        <f t="shared" si="3"/>
        <v>12.24575</v>
      </c>
      <c r="L141" s="48">
        <v>6.71</v>
      </c>
      <c r="M141" s="49">
        <f t="shared" si="4"/>
        <v>12.24575</v>
      </c>
      <c r="N141" s="39" t="s">
        <v>40</v>
      </c>
      <c r="O141" s="39" t="s">
        <v>41</v>
      </c>
      <c r="P141" s="39" t="s">
        <v>170</v>
      </c>
      <c r="Q141" s="47" t="str">
        <f t="shared" si="5"/>
        <v>20*30</v>
      </c>
      <c r="R141" s="50">
        <v>1.0</v>
      </c>
      <c r="S141" s="51">
        <v>0.0</v>
      </c>
      <c r="T141" s="51">
        <v>1.0</v>
      </c>
      <c r="U141" s="51">
        <v>1.0</v>
      </c>
      <c r="V141" s="39" t="s">
        <v>43</v>
      </c>
      <c r="W141" s="47" t="str">
        <f t="shared" si="6"/>
        <v>NOIR - 20*30 - PAS DE REHAUSSE - (Largeur 40mm Profondeur 15mm)</v>
      </c>
      <c r="X141" s="50">
        <v>0.0</v>
      </c>
      <c r="Y141" s="52" t="s">
        <v>44</v>
      </c>
      <c r="Z141" s="47" t="str">
        <f t="shared" si="7"/>
        <v>MARA 40 NOIR 20*30 VERRE</v>
      </c>
      <c r="AA141" s="39" t="s">
        <v>45</v>
      </c>
      <c r="AB141" s="39" t="s">
        <v>49</v>
      </c>
      <c r="AC141" s="47" t="str">
        <f t="shared" si="8"/>
        <v>MARA 40 NOIR 20*30 VERRE</v>
      </c>
      <c r="AD141" s="39" t="s">
        <v>127</v>
      </c>
      <c r="AE141" s="39" t="str">
        <f t="shared" si="9"/>
        <v>ROMY  20*30 NOIR VERRE PAS DE REHAUSSE - CADRES CLASSIQUES - Pas de passepartout - DOS AVEC CHEVALET (Largeur 40mm Profondeur 15mm)</v>
      </c>
      <c r="AF141" s="39" t="str">
        <f t="shared" si="1"/>
        <v>ROMY  20*30 NOIR VERRE PAS DE REHAUSSE - CADRES CLASSIQUES - Pas de passepartout - DOS AVEC CHEVALET (Largeur 40mm Profondeur 15mm)</v>
      </c>
      <c r="AG141" s="53">
        <f t="shared" si="10"/>
        <v>11.85186556</v>
      </c>
      <c r="AH141" s="39"/>
      <c r="AI141" s="39"/>
      <c r="AJ141" s="39"/>
      <c r="AK141" s="39"/>
      <c r="AL141" s="39"/>
      <c r="AM141" s="39"/>
      <c r="AN141" s="39"/>
      <c r="AO141" s="39"/>
      <c r="AP141" s="39"/>
    </row>
    <row r="142" ht="15.75" customHeight="1">
      <c r="A142" s="39">
        <v>1062.0</v>
      </c>
      <c r="B142" s="40" t="s">
        <v>211</v>
      </c>
      <c r="C142" s="41" t="s">
        <v>72</v>
      </c>
      <c r="D142" s="42" t="s">
        <v>227</v>
      </c>
      <c r="E142" s="43">
        <v>345707.0</v>
      </c>
      <c r="F142" s="44" t="s">
        <v>227</v>
      </c>
      <c r="G142" s="45">
        <v>2.0</v>
      </c>
      <c r="H142" s="54">
        <v>8.677366748644927</v>
      </c>
      <c r="I142" s="47" t="s">
        <v>126</v>
      </c>
      <c r="J142" s="39" t="str">
        <f t="shared" si="2"/>
        <v>069511 - MARA 40</v>
      </c>
      <c r="K142" s="47">
        <f t="shared" si="3"/>
        <v>16.133</v>
      </c>
      <c r="L142" s="48">
        <v>8.84</v>
      </c>
      <c r="M142" s="49">
        <f t="shared" si="4"/>
        <v>16.133</v>
      </c>
      <c r="N142" s="39" t="s">
        <v>40</v>
      </c>
      <c r="O142" s="39" t="s">
        <v>41</v>
      </c>
      <c r="P142" s="39" t="s">
        <v>170</v>
      </c>
      <c r="Q142" s="47" t="str">
        <f t="shared" si="5"/>
        <v>20*50</v>
      </c>
      <c r="R142" s="50">
        <v>1.0</v>
      </c>
      <c r="S142" s="51">
        <v>0.0</v>
      </c>
      <c r="T142" s="51">
        <v>0.0</v>
      </c>
      <c r="U142" s="51">
        <v>0.0</v>
      </c>
      <c r="V142" s="39" t="s">
        <v>43</v>
      </c>
      <c r="W142" s="47" t="str">
        <f t="shared" si="6"/>
        <v>NOIR - 20*50 - PAS DE REHAUSSE - (Largeur 40mm Profondeur 15mm)</v>
      </c>
      <c r="X142" s="50">
        <v>0.0</v>
      </c>
      <c r="Y142" s="52" t="s">
        <v>44</v>
      </c>
      <c r="Z142" s="47" t="str">
        <f t="shared" si="7"/>
        <v>MARA 40 NOIR 20*50 VERRE</v>
      </c>
      <c r="AA142" s="39" t="s">
        <v>45</v>
      </c>
      <c r="AB142" s="39" t="s">
        <v>46</v>
      </c>
      <c r="AC142" s="47" t="str">
        <f t="shared" si="8"/>
        <v>MARA 40 NOIR 20*50 VERRE</v>
      </c>
      <c r="AD142" s="39" t="s">
        <v>127</v>
      </c>
      <c r="AE142" s="39" t="str">
        <f t="shared" si="9"/>
        <v>ROMY  20*50 NOIR VERRE PAS DE REHAUSSE - CADRES CLASSIQUES - Pas de passepartout - Dos classique sans chevalet (Largeur 40mm Profondeur 15mm)</v>
      </c>
      <c r="AF142" s="39" t="str">
        <f t="shared" si="1"/>
        <v>ROMY  20*50 NOIR VERRE PAS DE REHAUSSE - CADRES CLASSIQUES - Pas de passepartout - Dos classique sans chevalet (Largeur 40mm Profondeur 15mm)</v>
      </c>
      <c r="AG142" s="53">
        <f t="shared" si="10"/>
        <v>15.61926015</v>
      </c>
      <c r="AH142" s="39"/>
      <c r="AI142" s="39"/>
      <c r="AJ142" s="39"/>
      <c r="AK142" s="39"/>
      <c r="AL142" s="39"/>
      <c r="AM142" s="39"/>
      <c r="AN142" s="39"/>
      <c r="AO142" s="39"/>
      <c r="AP142" s="39"/>
    </row>
    <row r="143" ht="15.75" customHeight="1">
      <c r="A143" s="39">
        <v>1063.0</v>
      </c>
      <c r="B143" s="40" t="s">
        <v>211</v>
      </c>
      <c r="C143" s="41" t="s">
        <v>74</v>
      </c>
      <c r="D143" s="42" t="s">
        <v>228</v>
      </c>
      <c r="E143" s="43">
        <v>345707.0</v>
      </c>
      <c r="F143" s="44" t="s">
        <v>228</v>
      </c>
      <c r="G143" s="45">
        <v>9.0</v>
      </c>
      <c r="H143" s="54">
        <v>9.744752001092783</v>
      </c>
      <c r="I143" s="47" t="s">
        <v>126</v>
      </c>
      <c r="J143" s="39" t="str">
        <f t="shared" si="2"/>
        <v>069512 - MARA 40</v>
      </c>
      <c r="K143" s="47">
        <f t="shared" si="3"/>
        <v>18.12225</v>
      </c>
      <c r="L143" s="48">
        <v>9.93</v>
      </c>
      <c r="M143" s="49">
        <f t="shared" si="4"/>
        <v>18.12225</v>
      </c>
      <c r="N143" s="39" t="s">
        <v>40</v>
      </c>
      <c r="O143" s="39" t="s">
        <v>41</v>
      </c>
      <c r="P143" s="39" t="s">
        <v>170</v>
      </c>
      <c r="Q143" s="47" t="str">
        <f t="shared" si="5"/>
        <v>20*60</v>
      </c>
      <c r="R143" s="50">
        <v>1.0</v>
      </c>
      <c r="S143" s="51">
        <v>0.0</v>
      </c>
      <c r="T143" s="51">
        <v>0.0</v>
      </c>
      <c r="U143" s="51">
        <v>0.0</v>
      </c>
      <c r="V143" s="39" t="s">
        <v>43</v>
      </c>
      <c r="W143" s="47" t="str">
        <f t="shared" si="6"/>
        <v>NOIR - 20*60 - PAS DE REHAUSSE - (Largeur 40mm Profondeur 15mm)</v>
      </c>
      <c r="X143" s="50">
        <v>0.0</v>
      </c>
      <c r="Y143" s="52" t="s">
        <v>44</v>
      </c>
      <c r="Z143" s="47" t="str">
        <f t="shared" si="7"/>
        <v>MARA 40 NOIR 20*60 VERRE</v>
      </c>
      <c r="AA143" s="39" t="s">
        <v>45</v>
      </c>
      <c r="AB143" s="39" t="s">
        <v>46</v>
      </c>
      <c r="AC143" s="47" t="str">
        <f t="shared" si="8"/>
        <v>MARA 40 NOIR 20*60 VERRE</v>
      </c>
      <c r="AD143" s="39" t="s">
        <v>127</v>
      </c>
      <c r="AE143" s="39" t="str">
        <f t="shared" si="9"/>
        <v>ROMY  20*60 NOIR VERRE PAS DE REHAUSSE - CADRES CLASSIQUES - Pas de passepartout - Dos classique sans chevalet (Largeur 40mm Profondeur 15mm)</v>
      </c>
      <c r="AF143" s="39" t="str">
        <f t="shared" si="1"/>
        <v>ROMY  20*60 NOIR VERRE PAS DE REHAUSSE - CADRES CLASSIQUES - Pas de passepartout - Dos classique sans chevalet (Largeur 40mm Profondeur 15mm)</v>
      </c>
      <c r="AG143" s="53">
        <f t="shared" si="10"/>
        <v>17.5405536</v>
      </c>
      <c r="AH143" s="39"/>
      <c r="AI143" s="39"/>
      <c r="AJ143" s="39"/>
      <c r="AK143" s="39"/>
      <c r="AL143" s="39"/>
      <c r="AM143" s="39"/>
      <c r="AN143" s="39"/>
      <c r="AO143" s="39"/>
      <c r="AP143" s="39"/>
    </row>
    <row r="144" ht="15.75" customHeight="1">
      <c r="A144" s="39">
        <v>1064.0</v>
      </c>
      <c r="B144" s="40" t="s">
        <v>211</v>
      </c>
      <c r="C144" s="41" t="s">
        <v>76</v>
      </c>
      <c r="D144" s="42" t="s">
        <v>229</v>
      </c>
      <c r="E144" s="43">
        <v>345707.0</v>
      </c>
      <c r="F144" s="44" t="s">
        <v>229</v>
      </c>
      <c r="G144" s="45">
        <v>6.0</v>
      </c>
      <c r="H144" s="54">
        <v>7.058283045876518</v>
      </c>
      <c r="I144" s="47" t="s">
        <v>126</v>
      </c>
      <c r="J144" s="39" t="str">
        <f t="shared" si="2"/>
        <v>069513 - MARA 40</v>
      </c>
      <c r="K144" s="47">
        <f t="shared" si="3"/>
        <v>13.12175</v>
      </c>
      <c r="L144" s="48">
        <v>7.19</v>
      </c>
      <c r="M144" s="49">
        <f t="shared" si="4"/>
        <v>13.12175</v>
      </c>
      <c r="N144" s="39" t="s">
        <v>40</v>
      </c>
      <c r="O144" s="39" t="s">
        <v>41</v>
      </c>
      <c r="P144" s="39" t="s">
        <v>170</v>
      </c>
      <c r="Q144" s="47" t="str">
        <f t="shared" si="5"/>
        <v>21*29,7</v>
      </c>
      <c r="R144" s="50">
        <v>1.0</v>
      </c>
      <c r="S144" s="51">
        <v>0.0</v>
      </c>
      <c r="T144" s="51">
        <v>0.0</v>
      </c>
      <c r="U144" s="51">
        <v>0.0</v>
      </c>
      <c r="V144" s="39" t="s">
        <v>43</v>
      </c>
      <c r="W144" s="47" t="str">
        <f t="shared" si="6"/>
        <v>NOIR - 21*29,7 - PAS DE REHAUSSE - (Largeur 40mm Profondeur 15mm)</v>
      </c>
      <c r="X144" s="50">
        <v>0.0</v>
      </c>
      <c r="Y144" s="52" t="s">
        <v>44</v>
      </c>
      <c r="Z144" s="47" t="str">
        <f t="shared" si="7"/>
        <v>MARA 40 NOIR 21*29,7 VERRE</v>
      </c>
      <c r="AA144" s="39" t="s">
        <v>45</v>
      </c>
      <c r="AB144" s="39" t="s">
        <v>46</v>
      </c>
      <c r="AC144" s="47" t="str">
        <f t="shared" si="8"/>
        <v>MARA 40 NOIR 21*29,7 VERRE</v>
      </c>
      <c r="AD144" s="39" t="s">
        <v>127</v>
      </c>
      <c r="AE144" s="39" t="str">
        <f t="shared" si="9"/>
        <v>ROMY  21*29,7 NOIR VERRE PAS DE REHAUSSE - CADRES CLASSIQUES - Pas de passepartout - Dos classique sans chevalet (Largeur 40mm Profondeur 15mm)</v>
      </c>
      <c r="AF144" s="39" t="str">
        <f t="shared" si="1"/>
        <v>ROMY  21*29,7 NOIR VERRE PAS DE REHAUSSE - CADRES CLASSIQUES - Pas de passepartout - Dos classique sans chevalet (Largeur 40mm Profondeur 15mm)</v>
      </c>
      <c r="AG144" s="53">
        <f t="shared" si="10"/>
        <v>12.70490948</v>
      </c>
      <c r="AH144" s="39"/>
      <c r="AI144" s="39"/>
      <c r="AJ144" s="39"/>
      <c r="AK144" s="39"/>
      <c r="AL144" s="39"/>
      <c r="AM144" s="39"/>
      <c r="AN144" s="39"/>
      <c r="AO144" s="39"/>
      <c r="AP144" s="39"/>
    </row>
    <row r="145" ht="15.75" customHeight="1">
      <c r="A145" s="39">
        <v>1065.0</v>
      </c>
      <c r="B145" s="40" t="s">
        <v>211</v>
      </c>
      <c r="C145" s="41" t="s">
        <v>78</v>
      </c>
      <c r="D145" s="42" t="s">
        <v>230</v>
      </c>
      <c r="E145" s="43">
        <v>345707.0</v>
      </c>
      <c r="F145" s="44" t="s">
        <v>230</v>
      </c>
      <c r="G145" s="45">
        <v>3.0</v>
      </c>
      <c r="H145" s="54">
        <v>9.1239111862412</v>
      </c>
      <c r="I145" s="47" t="s">
        <v>126</v>
      </c>
      <c r="J145" s="39" t="str">
        <f t="shared" si="2"/>
        <v>069514 - MARA 40</v>
      </c>
      <c r="K145" s="47">
        <f t="shared" si="3"/>
        <v>16.9725</v>
      </c>
      <c r="L145" s="48">
        <v>9.3</v>
      </c>
      <c r="M145" s="49">
        <f t="shared" si="4"/>
        <v>16.9725</v>
      </c>
      <c r="N145" s="39" t="s">
        <v>40</v>
      </c>
      <c r="O145" s="39" t="s">
        <v>41</v>
      </c>
      <c r="P145" s="39" t="s">
        <v>170</v>
      </c>
      <c r="Q145" s="47" t="str">
        <f t="shared" si="5"/>
        <v>23*50</v>
      </c>
      <c r="R145" s="50">
        <v>1.0</v>
      </c>
      <c r="S145" s="51">
        <v>0.0</v>
      </c>
      <c r="T145" s="51">
        <v>0.0</v>
      </c>
      <c r="U145" s="51">
        <v>0.0</v>
      </c>
      <c r="V145" s="39" t="s">
        <v>43</v>
      </c>
      <c r="W145" s="47" t="str">
        <f t="shared" si="6"/>
        <v>NOIR - 23*50 - PAS DE REHAUSSE - (Largeur 40mm Profondeur 15mm)</v>
      </c>
      <c r="X145" s="50">
        <v>0.0</v>
      </c>
      <c r="Y145" s="52" t="s">
        <v>44</v>
      </c>
      <c r="Z145" s="47" t="str">
        <f t="shared" si="7"/>
        <v>MARA 40 NOIR 23*50 VERRE</v>
      </c>
      <c r="AA145" s="39" t="s">
        <v>45</v>
      </c>
      <c r="AB145" s="39" t="s">
        <v>46</v>
      </c>
      <c r="AC145" s="47" t="str">
        <f t="shared" si="8"/>
        <v>MARA 40 NOIR 23*50 VERRE</v>
      </c>
      <c r="AD145" s="39" t="s">
        <v>127</v>
      </c>
      <c r="AE145" s="39" t="str">
        <f t="shared" si="9"/>
        <v>ROMY  23*50 NOIR VERRE PAS DE REHAUSSE - CADRES CLASSIQUES - Pas de passepartout - Dos classique sans chevalet (Largeur 40mm Profondeur 15mm)</v>
      </c>
      <c r="AF145" s="39" t="str">
        <f t="shared" si="1"/>
        <v>ROMY  23*50 NOIR VERRE PAS DE REHAUSSE - CADRES CLASSIQUES - Pas de passepartout - Dos classique sans chevalet (Largeur 40mm Profondeur 15mm)</v>
      </c>
      <c r="AG145" s="53">
        <f t="shared" si="10"/>
        <v>16.42304014</v>
      </c>
      <c r="AH145" s="39"/>
      <c r="AI145" s="39"/>
      <c r="AJ145" s="39"/>
      <c r="AK145" s="39"/>
      <c r="AL145" s="39"/>
      <c r="AM145" s="39"/>
      <c r="AN145" s="39"/>
      <c r="AO145" s="39"/>
      <c r="AP145" s="39"/>
    </row>
    <row r="146" ht="15.75" customHeight="1">
      <c r="A146" s="39">
        <v>1066.0</v>
      </c>
      <c r="B146" s="40" t="s">
        <v>211</v>
      </c>
      <c r="C146" s="41" t="s">
        <v>80</v>
      </c>
      <c r="D146" s="42" t="s">
        <v>231</v>
      </c>
      <c r="E146" s="43">
        <v>345707.0</v>
      </c>
      <c r="F146" s="44" t="s">
        <v>231</v>
      </c>
      <c r="G146" s="45">
        <v>0.0</v>
      </c>
      <c r="H146" s="54">
        <v>7.058283045876518</v>
      </c>
      <c r="I146" s="47" t="s">
        <v>126</v>
      </c>
      <c r="J146" s="39" t="str">
        <f t="shared" si="2"/>
        <v>069515 - MARA 40</v>
      </c>
      <c r="K146" s="47">
        <f t="shared" si="3"/>
        <v>13.12175</v>
      </c>
      <c r="L146" s="48">
        <v>7.19</v>
      </c>
      <c r="M146" s="49">
        <f t="shared" si="4"/>
        <v>13.12175</v>
      </c>
      <c r="N146" s="39" t="s">
        <v>40</v>
      </c>
      <c r="O146" s="39" t="s">
        <v>41</v>
      </c>
      <c r="P146" s="39" t="s">
        <v>170</v>
      </c>
      <c r="Q146" s="47" t="str">
        <f t="shared" si="5"/>
        <v>24*30</v>
      </c>
      <c r="R146" s="50">
        <v>1.0</v>
      </c>
      <c r="S146" s="51">
        <v>0.0</v>
      </c>
      <c r="T146" s="51">
        <v>0.0</v>
      </c>
      <c r="U146" s="51">
        <v>0.0</v>
      </c>
      <c r="V146" s="39" t="s">
        <v>43</v>
      </c>
      <c r="W146" s="47" t="str">
        <f t="shared" si="6"/>
        <v>NOIR - 24*30 - PAS DE REHAUSSE - (Largeur 40mm Profondeur 15mm)</v>
      </c>
      <c r="X146" s="50">
        <v>0.0</v>
      </c>
      <c r="Y146" s="52" t="s">
        <v>44</v>
      </c>
      <c r="Z146" s="47" t="str">
        <f t="shared" si="7"/>
        <v>MARA 40 NOIR 24*30 VERRE</v>
      </c>
      <c r="AA146" s="39" t="s">
        <v>45</v>
      </c>
      <c r="AB146" s="39" t="s">
        <v>46</v>
      </c>
      <c r="AC146" s="47" t="str">
        <f t="shared" si="8"/>
        <v>MARA 40 NOIR 24*30 VERRE</v>
      </c>
      <c r="AD146" s="39" t="s">
        <v>127</v>
      </c>
      <c r="AE146" s="39" t="str">
        <f t="shared" si="9"/>
        <v>ROMY  24*30 NOIR VERRE PAS DE REHAUSSE - CADRES CLASSIQUES - Pas de passepartout - Dos classique sans chevalet (Largeur 40mm Profondeur 15mm)</v>
      </c>
      <c r="AF146" s="39" t="str">
        <f t="shared" si="1"/>
        <v>ROMY  24*30 NOIR VERRE PAS DE REHAUSSE - CADRES CLASSIQUES - Pas de passepartout - Dos classique sans chevalet (Largeur 40mm Profondeur 15mm)</v>
      </c>
      <c r="AG146" s="53">
        <f t="shared" si="10"/>
        <v>12.70490948</v>
      </c>
      <c r="AH146" s="39"/>
      <c r="AI146" s="39"/>
      <c r="AJ146" s="39"/>
      <c r="AK146" s="39"/>
      <c r="AL146" s="39"/>
      <c r="AM146" s="39"/>
      <c r="AN146" s="39"/>
      <c r="AO146" s="39"/>
      <c r="AP146" s="39"/>
    </row>
    <row r="147" ht="15.75" customHeight="1">
      <c r="A147" s="39">
        <v>1067.0</v>
      </c>
      <c r="B147" s="40" t="s">
        <v>211</v>
      </c>
      <c r="C147" s="41" t="s">
        <v>82</v>
      </c>
      <c r="D147" s="42" t="s">
        <v>232</v>
      </c>
      <c r="E147" s="43">
        <v>345707.0</v>
      </c>
      <c r="F147" s="44" t="s">
        <v>232</v>
      </c>
      <c r="G147" s="45">
        <v>7.0</v>
      </c>
      <c r="H147" s="54">
        <v>9.423528099209015</v>
      </c>
      <c r="I147" s="47" t="s">
        <v>126</v>
      </c>
      <c r="J147" s="39" t="str">
        <f t="shared" si="2"/>
        <v>069516 - MARA 40</v>
      </c>
      <c r="K147" s="47">
        <f t="shared" si="3"/>
        <v>17.52</v>
      </c>
      <c r="L147" s="48">
        <v>9.6</v>
      </c>
      <c r="M147" s="49">
        <f t="shared" si="4"/>
        <v>17.52</v>
      </c>
      <c r="N147" s="39" t="s">
        <v>40</v>
      </c>
      <c r="O147" s="39" t="s">
        <v>41</v>
      </c>
      <c r="P147" s="39" t="s">
        <v>170</v>
      </c>
      <c r="Q147" s="47" t="str">
        <f t="shared" si="5"/>
        <v>25*50</v>
      </c>
      <c r="R147" s="50">
        <v>1.0</v>
      </c>
      <c r="S147" s="51">
        <v>0.0</v>
      </c>
      <c r="T147" s="51">
        <v>0.0</v>
      </c>
      <c r="U147" s="51">
        <v>0.0</v>
      </c>
      <c r="V147" s="39" t="s">
        <v>43</v>
      </c>
      <c r="W147" s="47" t="str">
        <f t="shared" si="6"/>
        <v>NOIR - 25*50 - PAS DE REHAUSSE - (Largeur 40mm Profondeur 15mm)</v>
      </c>
      <c r="X147" s="50">
        <v>0.0</v>
      </c>
      <c r="Y147" s="52" t="s">
        <v>44</v>
      </c>
      <c r="Z147" s="47" t="str">
        <f t="shared" si="7"/>
        <v>MARA 40 NOIR 25*50 VERRE</v>
      </c>
      <c r="AA147" s="39" t="s">
        <v>45</v>
      </c>
      <c r="AB147" s="39" t="s">
        <v>46</v>
      </c>
      <c r="AC147" s="47" t="str">
        <f t="shared" si="8"/>
        <v>MARA 40 NOIR 25*50 VERRE</v>
      </c>
      <c r="AD147" s="39" t="s">
        <v>127</v>
      </c>
      <c r="AE147" s="39" t="str">
        <f t="shared" si="9"/>
        <v>ROMY  25*50 NOIR VERRE PAS DE REHAUSSE - CADRES CLASSIQUES - Pas de passepartout - Dos classique sans chevalet (Largeur 40mm Profondeur 15mm)</v>
      </c>
      <c r="AF147" s="39" t="str">
        <f t="shared" si="1"/>
        <v>ROMY  25*50 NOIR VERRE PAS DE REHAUSSE - CADRES CLASSIQUES - Pas de passepartout - Dos classique sans chevalet (Largeur 40mm Profondeur 15mm)</v>
      </c>
      <c r="AG147" s="53">
        <f t="shared" si="10"/>
        <v>16.96235058</v>
      </c>
      <c r="AH147" s="39"/>
      <c r="AI147" s="39"/>
      <c r="AJ147" s="39"/>
      <c r="AK147" s="39"/>
      <c r="AL147" s="39"/>
      <c r="AM147" s="39"/>
      <c r="AN147" s="39"/>
      <c r="AO147" s="39"/>
      <c r="AP147" s="39"/>
    </row>
    <row r="148" ht="15.75" customHeight="1">
      <c r="A148" s="39">
        <v>1068.0</v>
      </c>
      <c r="B148" s="40" t="s">
        <v>211</v>
      </c>
      <c r="C148" s="41" t="s">
        <v>84</v>
      </c>
      <c r="D148" s="42" t="s">
        <v>233</v>
      </c>
      <c r="E148" s="43">
        <v>345707.0</v>
      </c>
      <c r="F148" s="44" t="s">
        <v>233</v>
      </c>
      <c r="G148" s="45">
        <v>4.0</v>
      </c>
      <c r="H148" s="54">
        <v>9.099423265469788</v>
      </c>
      <c r="I148" s="47" t="s">
        <v>126</v>
      </c>
      <c r="J148" s="39" t="str">
        <f t="shared" si="2"/>
        <v>069517 - MARA 40</v>
      </c>
      <c r="K148" s="47">
        <f t="shared" si="3"/>
        <v>16.91775</v>
      </c>
      <c r="L148" s="48">
        <v>9.27</v>
      </c>
      <c r="M148" s="49">
        <f t="shared" si="4"/>
        <v>16.91775</v>
      </c>
      <c r="N148" s="39" t="s">
        <v>40</v>
      </c>
      <c r="O148" s="39" t="s">
        <v>41</v>
      </c>
      <c r="P148" s="39" t="s">
        <v>170</v>
      </c>
      <c r="Q148" s="47" t="str">
        <f t="shared" si="5"/>
        <v>29,7*42</v>
      </c>
      <c r="R148" s="50">
        <v>1.0</v>
      </c>
      <c r="S148" s="51">
        <v>0.0</v>
      </c>
      <c r="T148" s="51">
        <v>0.0</v>
      </c>
      <c r="U148" s="51">
        <v>0.0</v>
      </c>
      <c r="V148" s="39" t="s">
        <v>43</v>
      </c>
      <c r="W148" s="47" t="str">
        <f t="shared" si="6"/>
        <v>NOIR - 29,7*42 - PAS DE REHAUSSE - (Largeur 40mm Profondeur 15mm)</v>
      </c>
      <c r="X148" s="50">
        <v>0.0</v>
      </c>
      <c r="Y148" s="52" t="s">
        <v>44</v>
      </c>
      <c r="Z148" s="47" t="str">
        <f t="shared" si="7"/>
        <v>MARA 40 NOIR 29,7*42 VERRE</v>
      </c>
      <c r="AA148" s="39" t="s">
        <v>45</v>
      </c>
      <c r="AB148" s="39" t="s">
        <v>46</v>
      </c>
      <c r="AC148" s="47" t="str">
        <f t="shared" si="8"/>
        <v>MARA 40 NOIR 29,7*42 VERRE</v>
      </c>
      <c r="AD148" s="39" t="s">
        <v>127</v>
      </c>
      <c r="AE148" s="39" t="str">
        <f t="shared" si="9"/>
        <v>ROMY  29,7*42 NOIR VERRE PAS DE REHAUSSE - CADRES CLASSIQUES - Pas de passepartout - Dos classique sans chevalet (Largeur 40mm Profondeur 15mm)</v>
      </c>
      <c r="AF148" s="39" t="str">
        <f t="shared" si="1"/>
        <v>ROMY  29,7*42 NOIR VERRE PAS DE REHAUSSE - CADRES CLASSIQUES - Pas de passepartout - Dos classique sans chevalet (Largeur 40mm Profondeur 15mm)</v>
      </c>
      <c r="AG148" s="53">
        <f t="shared" si="10"/>
        <v>16.37896188</v>
      </c>
      <c r="AH148" s="39"/>
      <c r="AI148" s="39"/>
      <c r="AJ148" s="39"/>
      <c r="AK148" s="39"/>
      <c r="AL148" s="39"/>
      <c r="AM148" s="39"/>
      <c r="AN148" s="39"/>
      <c r="AO148" s="39"/>
      <c r="AP148" s="39"/>
    </row>
    <row r="149" ht="15.75" customHeight="1">
      <c r="A149" s="39">
        <v>1069.0</v>
      </c>
      <c r="B149" s="40" t="s">
        <v>211</v>
      </c>
      <c r="C149" s="41" t="s">
        <v>86</v>
      </c>
      <c r="D149" s="42" t="s">
        <v>234</v>
      </c>
      <c r="E149" s="43">
        <v>345707.0</v>
      </c>
      <c r="F149" s="44" t="s">
        <v>234</v>
      </c>
      <c r="G149" s="45">
        <v>1.0</v>
      </c>
      <c r="H149" s="54">
        <v>7.762670884536437</v>
      </c>
      <c r="I149" s="47" t="s">
        <v>126</v>
      </c>
      <c r="J149" s="39" t="str">
        <f t="shared" si="2"/>
        <v>069518 - MARA 40</v>
      </c>
      <c r="K149" s="47">
        <f t="shared" si="3"/>
        <v>14.43575</v>
      </c>
      <c r="L149" s="48">
        <v>7.91</v>
      </c>
      <c r="M149" s="49">
        <f t="shared" si="4"/>
        <v>14.43575</v>
      </c>
      <c r="N149" s="39" t="s">
        <v>40</v>
      </c>
      <c r="O149" s="39" t="s">
        <v>41</v>
      </c>
      <c r="P149" s="39" t="s">
        <v>170</v>
      </c>
      <c r="Q149" s="47" t="str">
        <f t="shared" si="5"/>
        <v>30*30</v>
      </c>
      <c r="R149" s="50">
        <v>1.0</v>
      </c>
      <c r="S149" s="51">
        <v>0.0</v>
      </c>
      <c r="T149" s="51">
        <v>0.0</v>
      </c>
      <c r="U149" s="51">
        <v>0.0</v>
      </c>
      <c r="V149" s="39" t="s">
        <v>43</v>
      </c>
      <c r="W149" s="47" t="str">
        <f t="shared" si="6"/>
        <v>NOIR - 30*30 - PAS DE REHAUSSE - (Largeur 40mm Profondeur 15mm)</v>
      </c>
      <c r="X149" s="50">
        <v>0.0</v>
      </c>
      <c r="Y149" s="52" t="s">
        <v>44</v>
      </c>
      <c r="Z149" s="47" t="str">
        <f t="shared" si="7"/>
        <v>MARA 40 NOIR 30*30 VERRE</v>
      </c>
      <c r="AA149" s="39" t="s">
        <v>45</v>
      </c>
      <c r="AB149" s="39" t="s">
        <v>46</v>
      </c>
      <c r="AC149" s="47" t="str">
        <f t="shared" si="8"/>
        <v>MARA 40 NOIR 30*30 VERRE</v>
      </c>
      <c r="AD149" s="39" t="s">
        <v>127</v>
      </c>
      <c r="AE149" s="39" t="str">
        <f t="shared" si="9"/>
        <v>ROMY  30*30 NOIR VERRE PAS DE REHAUSSE - CADRES CLASSIQUES - Pas de passepartout - Dos classique sans chevalet (Largeur 40mm Profondeur 15mm)</v>
      </c>
      <c r="AF149" s="39" t="str">
        <f t="shared" si="1"/>
        <v>ROMY  30*30 NOIR VERRE PAS DE REHAUSSE - CADRES CLASSIQUES - Pas de passepartout - Dos classique sans chevalet (Largeur 40mm Profondeur 15mm)</v>
      </c>
      <c r="AG149" s="53">
        <f t="shared" si="10"/>
        <v>13.97280759</v>
      </c>
      <c r="AH149" s="39"/>
      <c r="AI149" s="39"/>
      <c r="AJ149" s="39"/>
      <c r="AK149" s="39"/>
      <c r="AL149" s="39"/>
      <c r="AM149" s="39"/>
      <c r="AN149" s="39"/>
      <c r="AO149" s="39"/>
      <c r="AP149" s="39"/>
    </row>
    <row r="150" ht="15.75" customHeight="1">
      <c r="A150" s="39">
        <v>1070.0</v>
      </c>
      <c r="B150" s="40" t="s">
        <v>211</v>
      </c>
      <c r="C150" s="41" t="s">
        <v>88</v>
      </c>
      <c r="D150" s="42" t="s">
        <v>235</v>
      </c>
      <c r="E150" s="43">
        <v>345707.0</v>
      </c>
      <c r="F150" s="44" t="s">
        <v>235</v>
      </c>
      <c r="G150" s="45">
        <v>8.0</v>
      </c>
      <c r="H150" s="54">
        <v>8.958257604552259</v>
      </c>
      <c r="I150" s="47" t="s">
        <v>126</v>
      </c>
      <c r="J150" s="39" t="str">
        <f t="shared" si="2"/>
        <v>069519 - MARA 40</v>
      </c>
      <c r="K150" s="47">
        <f t="shared" si="3"/>
        <v>16.66225</v>
      </c>
      <c r="L150" s="48">
        <v>9.13</v>
      </c>
      <c r="M150" s="49">
        <f t="shared" si="4"/>
        <v>16.66225</v>
      </c>
      <c r="N150" s="39" t="s">
        <v>40</v>
      </c>
      <c r="O150" s="39" t="s">
        <v>41</v>
      </c>
      <c r="P150" s="39" t="s">
        <v>170</v>
      </c>
      <c r="Q150" s="47" t="str">
        <f t="shared" si="5"/>
        <v>30*40</v>
      </c>
      <c r="R150" s="50">
        <v>1.0</v>
      </c>
      <c r="S150" s="51">
        <v>0.0</v>
      </c>
      <c r="T150" s="51">
        <v>0.0</v>
      </c>
      <c r="U150" s="51">
        <v>0.0</v>
      </c>
      <c r="V150" s="39" t="s">
        <v>43</v>
      </c>
      <c r="W150" s="47" t="str">
        <f t="shared" si="6"/>
        <v>NOIR - 30*40 - PAS DE REHAUSSE - (Largeur 40mm Profondeur 15mm)</v>
      </c>
      <c r="X150" s="50">
        <v>0.0</v>
      </c>
      <c r="Y150" s="52" t="s">
        <v>44</v>
      </c>
      <c r="Z150" s="47" t="str">
        <f t="shared" si="7"/>
        <v>MARA 40 NOIR 30*40 VERRE</v>
      </c>
      <c r="AA150" s="39" t="s">
        <v>45</v>
      </c>
      <c r="AB150" s="39" t="s">
        <v>46</v>
      </c>
      <c r="AC150" s="47" t="str">
        <f t="shared" si="8"/>
        <v>MARA 40 NOIR 30*40 VERRE</v>
      </c>
      <c r="AD150" s="39" t="s">
        <v>127</v>
      </c>
      <c r="AE150" s="39" t="str">
        <f t="shared" si="9"/>
        <v>ROMY  30*40 NOIR VERRE PAS DE REHAUSSE - CADRES CLASSIQUES - Pas de passepartout - Dos classique sans chevalet (Largeur 40mm Profondeur 15mm)</v>
      </c>
      <c r="AF150" s="39" t="str">
        <f t="shared" si="1"/>
        <v>ROMY  30*40 NOIR VERRE PAS DE REHAUSSE - CADRES CLASSIQUES - Pas de passepartout - Dos classique sans chevalet (Largeur 40mm Profondeur 15mm)</v>
      </c>
      <c r="AG150" s="53">
        <f t="shared" si="10"/>
        <v>16.12486369</v>
      </c>
      <c r="AH150" s="39"/>
      <c r="AI150" s="39"/>
      <c r="AJ150" s="39"/>
      <c r="AK150" s="39"/>
      <c r="AL150" s="39"/>
      <c r="AM150" s="39"/>
      <c r="AN150" s="39"/>
      <c r="AO150" s="39"/>
      <c r="AP150" s="39"/>
    </row>
    <row r="151" ht="15.75" customHeight="1">
      <c r="A151" s="39">
        <v>1071.0</v>
      </c>
      <c r="B151" s="40" t="s">
        <v>211</v>
      </c>
      <c r="C151" s="41" t="s">
        <v>90</v>
      </c>
      <c r="D151" s="42" t="s">
        <v>236</v>
      </c>
      <c r="E151" s="43">
        <v>345707.0</v>
      </c>
      <c r="F151" s="44" t="s">
        <v>236</v>
      </c>
      <c r="G151" s="45">
        <v>4.0</v>
      </c>
      <c r="H151" s="54">
        <v>9.548848634921512</v>
      </c>
      <c r="I151" s="47" t="s">
        <v>126</v>
      </c>
      <c r="J151" s="39" t="str">
        <f t="shared" si="2"/>
        <v>069520 - MARA 40</v>
      </c>
      <c r="K151" s="47">
        <f t="shared" si="3"/>
        <v>17.75725</v>
      </c>
      <c r="L151" s="48">
        <v>9.73</v>
      </c>
      <c r="M151" s="49">
        <f t="shared" si="4"/>
        <v>17.75725</v>
      </c>
      <c r="N151" s="39" t="s">
        <v>40</v>
      </c>
      <c r="O151" s="39" t="s">
        <v>41</v>
      </c>
      <c r="P151" s="39" t="s">
        <v>170</v>
      </c>
      <c r="Q151" s="47" t="str">
        <f t="shared" si="5"/>
        <v>30*45</v>
      </c>
      <c r="R151" s="50">
        <v>1.0</v>
      </c>
      <c r="S151" s="51">
        <v>0.0</v>
      </c>
      <c r="T151" s="51">
        <v>0.0</v>
      </c>
      <c r="U151" s="51">
        <v>0.0</v>
      </c>
      <c r="V151" s="39" t="s">
        <v>43</v>
      </c>
      <c r="W151" s="47" t="str">
        <f t="shared" si="6"/>
        <v>NOIR - 30*45 - PAS DE REHAUSSE - (Largeur 40mm Profondeur 15mm)</v>
      </c>
      <c r="X151" s="50">
        <v>0.0</v>
      </c>
      <c r="Y151" s="52" t="s">
        <v>44</v>
      </c>
      <c r="Z151" s="47" t="str">
        <f t="shared" si="7"/>
        <v>MARA 40 NOIR 30*45 VERRE</v>
      </c>
      <c r="AA151" s="39" t="s">
        <v>45</v>
      </c>
      <c r="AB151" s="39" t="s">
        <v>46</v>
      </c>
      <c r="AC151" s="47" t="str">
        <f t="shared" si="8"/>
        <v>MARA 40 NOIR 30*45 VERRE</v>
      </c>
      <c r="AD151" s="39" t="s">
        <v>127</v>
      </c>
      <c r="AE151" s="39" t="str">
        <f t="shared" si="9"/>
        <v>ROMY  30*45 NOIR VERRE PAS DE REHAUSSE - CADRES CLASSIQUES - Pas de passepartout - Dos classique sans chevalet (Largeur 40mm Profondeur 15mm)</v>
      </c>
      <c r="AF151" s="39" t="str">
        <f t="shared" si="1"/>
        <v>ROMY  30*45 NOIR VERRE PAS DE REHAUSSE - CADRES CLASSIQUES - Pas de passepartout - Dos classique sans chevalet (Largeur 40mm Profondeur 15mm)</v>
      </c>
      <c r="AG151" s="53">
        <f t="shared" si="10"/>
        <v>17.18792754</v>
      </c>
      <c r="AH151" s="39"/>
      <c r="AI151" s="39"/>
      <c r="AJ151" s="39"/>
      <c r="AK151" s="39"/>
      <c r="AL151" s="39"/>
      <c r="AM151" s="39"/>
      <c r="AN151" s="39"/>
      <c r="AO151" s="39"/>
      <c r="AP151" s="39"/>
    </row>
    <row r="152" ht="15.75" customHeight="1">
      <c r="A152" s="39">
        <v>1072.0</v>
      </c>
      <c r="B152" s="40" t="s">
        <v>211</v>
      </c>
      <c r="C152" s="41" t="s">
        <v>92</v>
      </c>
      <c r="D152" s="42" t="s">
        <v>237</v>
      </c>
      <c r="E152" s="43">
        <v>345707.0</v>
      </c>
      <c r="F152" s="44" t="s">
        <v>237</v>
      </c>
      <c r="G152" s="45">
        <v>1.0</v>
      </c>
      <c r="H152" s="54">
        <v>16.068397423827054</v>
      </c>
      <c r="I152" s="47" t="s">
        <v>126</v>
      </c>
      <c r="J152" s="39" t="str">
        <f t="shared" si="2"/>
        <v>069521 - MARA 40</v>
      </c>
      <c r="K152" s="47">
        <f t="shared" si="3"/>
        <v>29.87525</v>
      </c>
      <c r="L152" s="48">
        <v>16.37</v>
      </c>
      <c r="M152" s="49">
        <f t="shared" si="4"/>
        <v>29.87525</v>
      </c>
      <c r="N152" s="39" t="s">
        <v>40</v>
      </c>
      <c r="O152" s="39" t="s">
        <v>41</v>
      </c>
      <c r="P152" s="39" t="s">
        <v>170</v>
      </c>
      <c r="Q152" s="47" t="str">
        <f t="shared" si="5"/>
        <v>33*95</v>
      </c>
      <c r="R152" s="50">
        <v>1.0</v>
      </c>
      <c r="S152" s="51">
        <v>0.0</v>
      </c>
      <c r="T152" s="51">
        <v>0.0</v>
      </c>
      <c r="U152" s="51">
        <v>0.0</v>
      </c>
      <c r="V152" s="39" t="s">
        <v>43</v>
      </c>
      <c r="W152" s="47" t="str">
        <f t="shared" si="6"/>
        <v>NOIR - 33*95 - PAS DE REHAUSSE - (Largeur 40mm Profondeur 15mm)</v>
      </c>
      <c r="X152" s="50">
        <v>0.0</v>
      </c>
      <c r="Y152" s="52" t="s">
        <v>44</v>
      </c>
      <c r="Z152" s="47" t="str">
        <f t="shared" si="7"/>
        <v>MARA 40 NOIR 33*95 VERRE</v>
      </c>
      <c r="AA152" s="39" t="s">
        <v>45</v>
      </c>
      <c r="AB152" s="39" t="s">
        <v>46</v>
      </c>
      <c r="AC152" s="47" t="str">
        <f t="shared" si="8"/>
        <v>MARA 40 NOIR 33*95 VERRE</v>
      </c>
      <c r="AD152" s="39" t="s">
        <v>127</v>
      </c>
      <c r="AE152" s="39" t="str">
        <f t="shared" si="9"/>
        <v>ROMY  33*95 NOIR VERRE PAS DE REHAUSSE - CADRES CLASSIQUES - Pas de passepartout - Dos classique sans chevalet (Largeur 40mm Profondeur 15mm)</v>
      </c>
      <c r="AF152" s="39" t="str">
        <f t="shared" si="1"/>
        <v>ROMY  33*95 NOIR VERRE PAS DE REHAUSSE - CADRES CLASSIQUES - Pas de passepartout - Dos classique sans chevalet (Largeur 40mm Profondeur 15mm)</v>
      </c>
      <c r="AG152" s="53">
        <f t="shared" si="10"/>
        <v>28.92311536</v>
      </c>
      <c r="AH152" s="39"/>
      <c r="AI152" s="39"/>
      <c r="AJ152" s="39"/>
      <c r="AK152" s="39"/>
      <c r="AL152" s="39"/>
      <c r="AM152" s="39"/>
      <c r="AN152" s="39"/>
      <c r="AO152" s="39"/>
      <c r="AP152" s="39"/>
    </row>
    <row r="153" ht="15.75" customHeight="1">
      <c r="A153" s="39">
        <v>1073.0</v>
      </c>
      <c r="B153" s="40" t="s">
        <v>211</v>
      </c>
      <c r="C153" s="41" t="s">
        <v>94</v>
      </c>
      <c r="D153" s="42" t="s">
        <v>238</v>
      </c>
      <c r="E153" s="43">
        <v>345707.0</v>
      </c>
      <c r="F153" s="44" t="s">
        <v>238</v>
      </c>
      <c r="G153" s="45">
        <v>8.0</v>
      </c>
      <c r="H153" s="54">
        <v>10.269081598786467</v>
      </c>
      <c r="I153" s="47" t="s">
        <v>126</v>
      </c>
      <c r="J153" s="39" t="str">
        <f t="shared" si="2"/>
        <v>069522 - MARA 40</v>
      </c>
      <c r="K153" s="47">
        <f t="shared" si="3"/>
        <v>19.0895</v>
      </c>
      <c r="L153" s="48">
        <v>10.46</v>
      </c>
      <c r="M153" s="49">
        <f t="shared" si="4"/>
        <v>19.0895</v>
      </c>
      <c r="N153" s="39" t="s">
        <v>40</v>
      </c>
      <c r="O153" s="39" t="s">
        <v>41</v>
      </c>
      <c r="P153" s="39" t="s">
        <v>170</v>
      </c>
      <c r="Q153" s="47" t="str">
        <f t="shared" si="5"/>
        <v>40*40</v>
      </c>
      <c r="R153" s="50">
        <v>1.0</v>
      </c>
      <c r="S153" s="51">
        <v>0.0</v>
      </c>
      <c r="T153" s="51">
        <v>0.0</v>
      </c>
      <c r="U153" s="51">
        <v>0.0</v>
      </c>
      <c r="V153" s="39" t="s">
        <v>43</v>
      </c>
      <c r="W153" s="47" t="str">
        <f t="shared" si="6"/>
        <v>NOIR - 40*40 - PAS DE REHAUSSE - (Largeur 40mm Profondeur 15mm)</v>
      </c>
      <c r="X153" s="50">
        <v>0.0</v>
      </c>
      <c r="Y153" s="52" t="s">
        <v>44</v>
      </c>
      <c r="Z153" s="47" t="str">
        <f t="shared" si="7"/>
        <v>MARA 40 NOIR 40*40 VERRE</v>
      </c>
      <c r="AA153" s="39" t="s">
        <v>45</v>
      </c>
      <c r="AB153" s="39" t="s">
        <v>46</v>
      </c>
      <c r="AC153" s="47" t="str">
        <f t="shared" si="8"/>
        <v>MARA 40 NOIR 40*40 VERRE</v>
      </c>
      <c r="AD153" s="39" t="s">
        <v>127</v>
      </c>
      <c r="AE153" s="39" t="str">
        <f t="shared" si="9"/>
        <v>ROMY  40*40 NOIR VERRE PAS DE REHAUSSE - CADRES CLASSIQUES - Pas de passepartout - Dos classique sans chevalet (Largeur 40mm Profondeur 15mm)</v>
      </c>
      <c r="AF153" s="39" t="str">
        <f t="shared" si="1"/>
        <v>ROMY  40*40 NOIR VERRE PAS DE REHAUSSE - CADRES CLASSIQUES - Pas de passepartout - Dos classique sans chevalet (Largeur 40mm Profondeur 15mm)</v>
      </c>
      <c r="AG153" s="53">
        <f t="shared" si="10"/>
        <v>18.48434688</v>
      </c>
      <c r="AH153" s="39"/>
      <c r="AI153" s="39"/>
      <c r="AJ153" s="39"/>
      <c r="AK153" s="39"/>
      <c r="AL153" s="39"/>
      <c r="AM153" s="39"/>
      <c r="AN153" s="39"/>
      <c r="AO153" s="39"/>
      <c r="AP153" s="39"/>
    </row>
    <row r="154" ht="15.75" customHeight="1">
      <c r="A154" s="39">
        <v>1074.0</v>
      </c>
      <c r="B154" s="40" t="s">
        <v>211</v>
      </c>
      <c r="C154" s="41" t="s">
        <v>96</v>
      </c>
      <c r="D154" s="42" t="s">
        <v>239</v>
      </c>
      <c r="E154" s="43">
        <v>345707.0</v>
      </c>
      <c r="F154" s="44" t="s">
        <v>239</v>
      </c>
      <c r="G154" s="45">
        <v>5.0</v>
      </c>
      <c r="H154" s="54">
        <v>11.581346058948403</v>
      </c>
      <c r="I154" s="47" t="s">
        <v>126</v>
      </c>
      <c r="J154" s="39" t="str">
        <f t="shared" si="2"/>
        <v>069523 - MARA 40</v>
      </c>
      <c r="K154" s="47">
        <f t="shared" si="3"/>
        <v>21.535</v>
      </c>
      <c r="L154" s="48">
        <v>11.8</v>
      </c>
      <c r="M154" s="49">
        <f t="shared" si="4"/>
        <v>21.535</v>
      </c>
      <c r="N154" s="39" t="s">
        <v>40</v>
      </c>
      <c r="O154" s="39" t="s">
        <v>41</v>
      </c>
      <c r="P154" s="39" t="s">
        <v>170</v>
      </c>
      <c r="Q154" s="47" t="str">
        <f t="shared" si="5"/>
        <v>40*50</v>
      </c>
      <c r="R154" s="50">
        <v>1.0</v>
      </c>
      <c r="S154" s="51">
        <v>0.0</v>
      </c>
      <c r="T154" s="51">
        <v>0.0</v>
      </c>
      <c r="U154" s="51">
        <v>0.0</v>
      </c>
      <c r="V154" s="39" t="s">
        <v>43</v>
      </c>
      <c r="W154" s="47" t="str">
        <f t="shared" si="6"/>
        <v>NOIR - 40*50 - PAS DE REHAUSSE - (Largeur 40mm Profondeur 15mm)</v>
      </c>
      <c r="X154" s="50">
        <v>0.0</v>
      </c>
      <c r="Y154" s="52" t="s">
        <v>44</v>
      </c>
      <c r="Z154" s="47" t="str">
        <f t="shared" si="7"/>
        <v>MARA 40 NOIR 40*50 VERRE</v>
      </c>
      <c r="AA154" s="39" t="s">
        <v>45</v>
      </c>
      <c r="AB154" s="39" t="s">
        <v>46</v>
      </c>
      <c r="AC154" s="47" t="str">
        <f t="shared" si="8"/>
        <v>MARA 40 NOIR 40*50 VERRE</v>
      </c>
      <c r="AD154" s="39" t="s">
        <v>127</v>
      </c>
      <c r="AE154" s="39" t="str">
        <f t="shared" si="9"/>
        <v>ROMY  40*50 NOIR VERRE PAS DE REHAUSSE - CADRES CLASSIQUES - Pas de passepartout - Dos classique sans chevalet (Largeur 40mm Profondeur 15mm)</v>
      </c>
      <c r="AF154" s="39" t="str">
        <f t="shared" si="1"/>
        <v>ROMY  40*50 NOIR VERRE PAS DE REHAUSSE - CADRES CLASSIQUES - Pas de passepartout - Dos classique sans chevalet (Largeur 40mm Profondeur 15mm)</v>
      </c>
      <c r="AG154" s="53">
        <f t="shared" si="10"/>
        <v>20.84642291</v>
      </c>
      <c r="AH154" s="39"/>
      <c r="AI154" s="39"/>
      <c r="AJ154" s="39"/>
      <c r="AK154" s="39"/>
      <c r="AL154" s="39"/>
      <c r="AM154" s="39"/>
      <c r="AN154" s="39"/>
      <c r="AO154" s="39"/>
      <c r="AP154" s="39"/>
    </row>
    <row r="155" ht="15.75" customHeight="1">
      <c r="A155" s="39">
        <v>1075.0</v>
      </c>
      <c r="B155" s="40" t="s">
        <v>211</v>
      </c>
      <c r="C155" s="41" t="s">
        <v>98</v>
      </c>
      <c r="D155" s="42" t="s">
        <v>240</v>
      </c>
      <c r="E155" s="43">
        <v>345707.0</v>
      </c>
      <c r="F155" s="44" t="s">
        <v>240</v>
      </c>
      <c r="G155" s="45">
        <v>2.0</v>
      </c>
      <c r="H155" s="54">
        <v>12.892170053182612</v>
      </c>
      <c r="I155" s="47" t="s">
        <v>126</v>
      </c>
      <c r="J155" s="39" t="str">
        <f t="shared" si="2"/>
        <v>069524 - MARA 40</v>
      </c>
      <c r="K155" s="47">
        <f t="shared" si="3"/>
        <v>23.9805</v>
      </c>
      <c r="L155" s="48">
        <v>13.14</v>
      </c>
      <c r="M155" s="49">
        <f t="shared" si="4"/>
        <v>23.9805</v>
      </c>
      <c r="N155" s="39" t="s">
        <v>40</v>
      </c>
      <c r="O155" s="39" t="s">
        <v>41</v>
      </c>
      <c r="P155" s="39" t="s">
        <v>170</v>
      </c>
      <c r="Q155" s="47" t="str">
        <f t="shared" si="5"/>
        <v>40*60</v>
      </c>
      <c r="R155" s="50">
        <v>1.0</v>
      </c>
      <c r="S155" s="51">
        <v>0.0</v>
      </c>
      <c r="T155" s="51">
        <v>0.0</v>
      </c>
      <c r="U155" s="51">
        <v>0.0</v>
      </c>
      <c r="V155" s="39" t="s">
        <v>43</v>
      </c>
      <c r="W155" s="47" t="str">
        <f t="shared" si="6"/>
        <v>NOIR - 40*60 - PAS DE REHAUSSE - (Largeur 40mm Profondeur 15mm)</v>
      </c>
      <c r="X155" s="50">
        <v>0.0</v>
      </c>
      <c r="Y155" s="52" t="s">
        <v>44</v>
      </c>
      <c r="Z155" s="47" t="str">
        <f t="shared" si="7"/>
        <v>MARA 40 NOIR 40*60 VERRE</v>
      </c>
      <c r="AA155" s="39" t="s">
        <v>45</v>
      </c>
      <c r="AB155" s="39" t="s">
        <v>46</v>
      </c>
      <c r="AC155" s="47" t="str">
        <f t="shared" si="8"/>
        <v>MARA 40 NOIR 40*60 VERRE</v>
      </c>
      <c r="AD155" s="39" t="s">
        <v>127</v>
      </c>
      <c r="AE155" s="39" t="str">
        <f t="shared" si="9"/>
        <v>ROMY  40*60 NOIR VERRE PAS DE REHAUSSE - CADRES CLASSIQUES - Pas de passepartout - Dos classique sans chevalet (Largeur 40mm Profondeur 15mm)</v>
      </c>
      <c r="AF155" s="39" t="str">
        <f t="shared" si="1"/>
        <v>ROMY  40*60 NOIR VERRE PAS DE REHAUSSE - CADRES CLASSIQUES - Pas de passepartout - Dos classique sans chevalet (Largeur 40mm Profondeur 15mm)</v>
      </c>
      <c r="AG155" s="53">
        <f t="shared" si="10"/>
        <v>23.2059061</v>
      </c>
      <c r="AH155" s="39"/>
      <c r="AI155" s="39"/>
      <c r="AJ155" s="39"/>
      <c r="AK155" s="39"/>
      <c r="AL155" s="39"/>
      <c r="AM155" s="39"/>
      <c r="AN155" s="39"/>
      <c r="AO155" s="39"/>
      <c r="AP155" s="39"/>
    </row>
    <row r="156" ht="15.75" customHeight="1">
      <c r="A156" s="39">
        <v>1076.0</v>
      </c>
      <c r="B156" s="40" t="s">
        <v>211</v>
      </c>
      <c r="C156" s="41" t="s">
        <v>100</v>
      </c>
      <c r="D156" s="42" t="s">
        <v>241</v>
      </c>
      <c r="E156" s="43">
        <v>345707.0</v>
      </c>
      <c r="F156" s="44" t="s">
        <v>241</v>
      </c>
      <c r="G156" s="45">
        <v>3.0</v>
      </c>
      <c r="H156" s="54">
        <v>13.4949679869375</v>
      </c>
      <c r="I156" s="47" t="s">
        <v>126</v>
      </c>
      <c r="J156" s="39" t="str">
        <f t="shared" si="2"/>
        <v>068157 - MARA 40</v>
      </c>
      <c r="K156" s="47">
        <f t="shared" si="3"/>
        <v>25.09375</v>
      </c>
      <c r="L156" s="48">
        <v>13.75</v>
      </c>
      <c r="M156" s="49">
        <f t="shared" si="4"/>
        <v>25.09375</v>
      </c>
      <c r="N156" s="39" t="s">
        <v>40</v>
      </c>
      <c r="O156" s="39" t="s">
        <v>41</v>
      </c>
      <c r="P156" s="39" t="s">
        <v>170</v>
      </c>
      <c r="Q156" s="47" t="str">
        <f t="shared" si="5"/>
        <v>42*59,4</v>
      </c>
      <c r="R156" s="50">
        <v>1.0</v>
      </c>
      <c r="S156" s="51">
        <v>0.0</v>
      </c>
      <c r="T156" s="51">
        <v>0.0</v>
      </c>
      <c r="U156" s="51">
        <v>0.0</v>
      </c>
      <c r="V156" s="39" t="s">
        <v>43</v>
      </c>
      <c r="W156" s="47" t="str">
        <f t="shared" si="6"/>
        <v>NOIR - 42*59,4 - PAS DE REHAUSSE - (Largeur 40mm Profondeur 15mm)</v>
      </c>
      <c r="X156" s="50">
        <v>0.0</v>
      </c>
      <c r="Y156" s="52" t="s">
        <v>44</v>
      </c>
      <c r="Z156" s="47" t="str">
        <f t="shared" si="7"/>
        <v>MARA 40 NOIR 42*59,4 VERRE</v>
      </c>
      <c r="AA156" s="39" t="s">
        <v>45</v>
      </c>
      <c r="AB156" s="39" t="s">
        <v>46</v>
      </c>
      <c r="AC156" s="47" t="str">
        <f t="shared" si="8"/>
        <v>MARA 40 NOIR 42*59,4 VERRE</v>
      </c>
      <c r="AD156" s="39" t="s">
        <v>127</v>
      </c>
      <c r="AE156" s="39" t="str">
        <f t="shared" si="9"/>
        <v>ROMY  42*59,4 NOIR VERRE PAS DE REHAUSSE - CADRES CLASSIQUES - Pas de passepartout - Dos classique sans chevalet (Largeur 40mm Profondeur 15mm)</v>
      </c>
      <c r="AF156" s="39" t="str">
        <f t="shared" si="1"/>
        <v>ROMY  42*59,4 NOIR VERRE PAS DE REHAUSSE - CADRES CLASSIQUES - Pas de passepartout - Dos classique sans chevalet (Largeur 40mm Profondeur 15mm)</v>
      </c>
      <c r="AG156" s="53">
        <f t="shared" si="10"/>
        <v>24.29094238</v>
      </c>
      <c r="AH156" s="39"/>
      <c r="AI156" s="39"/>
      <c r="AJ156" s="39"/>
      <c r="AK156" s="39"/>
      <c r="AL156" s="39"/>
      <c r="AM156" s="39"/>
      <c r="AN156" s="39"/>
      <c r="AO156" s="39"/>
      <c r="AP156" s="39"/>
    </row>
    <row r="157" ht="15.75" customHeight="1">
      <c r="A157" s="39">
        <v>1077.0</v>
      </c>
      <c r="B157" s="40" t="s">
        <v>211</v>
      </c>
      <c r="C157" s="41" t="s">
        <v>102</v>
      </c>
      <c r="D157" s="42" t="s">
        <v>242</v>
      </c>
      <c r="E157" s="43">
        <v>345707.0</v>
      </c>
      <c r="F157" s="44" t="s">
        <v>242</v>
      </c>
      <c r="G157" s="45">
        <v>9.0</v>
      </c>
      <c r="H157" s="54">
        <v>13.955233907847283</v>
      </c>
      <c r="I157" s="47" t="s">
        <v>126</v>
      </c>
      <c r="J157" s="39" t="str">
        <f t="shared" si="2"/>
        <v>069525 - MARA 40</v>
      </c>
      <c r="K157" s="47">
        <f t="shared" si="3"/>
        <v>25.9515</v>
      </c>
      <c r="L157" s="48">
        <v>14.22</v>
      </c>
      <c r="M157" s="49">
        <f t="shared" si="4"/>
        <v>25.9515</v>
      </c>
      <c r="N157" s="39" t="s">
        <v>40</v>
      </c>
      <c r="O157" s="39" t="s">
        <v>41</v>
      </c>
      <c r="P157" s="39" t="s">
        <v>170</v>
      </c>
      <c r="Q157" s="47" t="str">
        <f t="shared" si="5"/>
        <v>46*61</v>
      </c>
      <c r="R157" s="50">
        <v>1.0</v>
      </c>
      <c r="S157" s="51">
        <v>0.0</v>
      </c>
      <c r="T157" s="51">
        <v>0.0</v>
      </c>
      <c r="U157" s="51">
        <v>0.0</v>
      </c>
      <c r="V157" s="39" t="s">
        <v>43</v>
      </c>
      <c r="W157" s="47" t="str">
        <f t="shared" si="6"/>
        <v>NOIR - 46*61 - PAS DE REHAUSSE - (Largeur 40mm Profondeur 15mm)</v>
      </c>
      <c r="X157" s="50">
        <v>0.0</v>
      </c>
      <c r="Y157" s="52" t="s">
        <v>44</v>
      </c>
      <c r="Z157" s="47" t="str">
        <f t="shared" si="7"/>
        <v>MARA 40 NOIR 46*61 VERRE</v>
      </c>
      <c r="AA157" s="39" t="s">
        <v>45</v>
      </c>
      <c r="AB157" s="39" t="s">
        <v>46</v>
      </c>
      <c r="AC157" s="47" t="str">
        <f t="shared" si="8"/>
        <v>MARA 40 NOIR 46*61 VERRE</v>
      </c>
      <c r="AD157" s="39" t="s">
        <v>127</v>
      </c>
      <c r="AE157" s="39" t="str">
        <f t="shared" si="9"/>
        <v>ROMY  46*61 NOIR VERRE PAS DE REHAUSSE - CADRES CLASSIQUES - Pas de passepartout - Dos classique sans chevalet (Largeur 40mm Profondeur 15mm)</v>
      </c>
      <c r="AF157" s="39" t="str">
        <f t="shared" si="1"/>
        <v>ROMY  46*61 NOIR VERRE PAS DE REHAUSSE - CADRES CLASSIQUES - Pas de passepartout - Dos classique sans chevalet (Largeur 40mm Profondeur 15mm)</v>
      </c>
      <c r="AG157" s="53">
        <f t="shared" si="10"/>
        <v>25.11942103</v>
      </c>
      <c r="AH157" s="39"/>
      <c r="AI157" s="39"/>
      <c r="AJ157" s="39"/>
      <c r="AK157" s="39"/>
      <c r="AL157" s="39"/>
      <c r="AM157" s="39"/>
      <c r="AN157" s="39"/>
      <c r="AO157" s="39"/>
      <c r="AP157" s="39"/>
    </row>
    <row r="158" ht="15.75" customHeight="1">
      <c r="A158" s="39">
        <v>1078.0</v>
      </c>
      <c r="B158" s="40" t="s">
        <v>211</v>
      </c>
      <c r="C158" s="41" t="s">
        <v>104</v>
      </c>
      <c r="D158" s="42" t="s">
        <v>243</v>
      </c>
      <c r="E158" s="43">
        <v>345707.0</v>
      </c>
      <c r="F158" s="44" t="s">
        <v>243</v>
      </c>
      <c r="G158" s="45">
        <v>6.0</v>
      </c>
      <c r="H158" s="54">
        <v>13.021811986678307</v>
      </c>
      <c r="I158" s="47" t="s">
        <v>126</v>
      </c>
      <c r="J158" s="39" t="str">
        <f t="shared" si="2"/>
        <v>069526 - MARA 40</v>
      </c>
      <c r="K158" s="47">
        <f t="shared" si="3"/>
        <v>24.21775</v>
      </c>
      <c r="L158" s="48">
        <v>13.27</v>
      </c>
      <c r="M158" s="49">
        <f t="shared" si="4"/>
        <v>24.21775</v>
      </c>
      <c r="N158" s="39" t="s">
        <v>40</v>
      </c>
      <c r="O158" s="39" t="s">
        <v>41</v>
      </c>
      <c r="P158" s="39" t="s">
        <v>170</v>
      </c>
      <c r="Q158" s="47" t="str">
        <f t="shared" si="5"/>
        <v>50*50</v>
      </c>
      <c r="R158" s="50">
        <v>1.0</v>
      </c>
      <c r="S158" s="51">
        <v>0.0</v>
      </c>
      <c r="T158" s="51">
        <v>0.0</v>
      </c>
      <c r="U158" s="51">
        <v>0.0</v>
      </c>
      <c r="V158" s="39" t="s">
        <v>43</v>
      </c>
      <c r="W158" s="47" t="str">
        <f t="shared" si="6"/>
        <v>NOIR - 50*50 - PAS DE REHAUSSE - (Largeur 40mm Profondeur 15mm)</v>
      </c>
      <c r="X158" s="50">
        <v>0.0</v>
      </c>
      <c r="Y158" s="52" t="s">
        <v>44</v>
      </c>
      <c r="Z158" s="47" t="str">
        <f t="shared" si="7"/>
        <v>MARA 40 NOIR 50*50 VERRE</v>
      </c>
      <c r="AA158" s="39" t="s">
        <v>45</v>
      </c>
      <c r="AB158" s="39" t="s">
        <v>46</v>
      </c>
      <c r="AC158" s="47" t="str">
        <f t="shared" si="8"/>
        <v>MARA 40 NOIR 50*50 VERRE</v>
      </c>
      <c r="AD158" s="39" t="s">
        <v>127</v>
      </c>
      <c r="AE158" s="39" t="str">
        <f t="shared" si="9"/>
        <v>ROMY  50*50 NOIR VERRE PAS DE REHAUSSE - CADRES CLASSIQUES - Pas de passepartout - Dos classique sans chevalet (Largeur 40mm Profondeur 15mm)</v>
      </c>
      <c r="AF158" s="39" t="str">
        <f t="shared" si="1"/>
        <v>ROMY  50*50 NOIR VERRE PAS DE REHAUSSE - CADRES CLASSIQUES - Pas de passepartout - Dos classique sans chevalet (Largeur 40mm Profondeur 15mm)</v>
      </c>
      <c r="AG158" s="53">
        <f t="shared" si="10"/>
        <v>23.43926158</v>
      </c>
      <c r="AH158" s="39"/>
      <c r="AI158" s="39"/>
      <c r="AJ158" s="39"/>
      <c r="AK158" s="39"/>
      <c r="AL158" s="39"/>
      <c r="AM158" s="39"/>
      <c r="AN158" s="39"/>
      <c r="AO158" s="39"/>
      <c r="AP158" s="39"/>
    </row>
    <row r="159" ht="15.75" customHeight="1">
      <c r="A159" s="39">
        <v>1079.0</v>
      </c>
      <c r="B159" s="40" t="s">
        <v>211</v>
      </c>
      <c r="C159" s="41" t="s">
        <v>106</v>
      </c>
      <c r="D159" s="42" t="s">
        <v>244</v>
      </c>
      <c r="E159" s="43">
        <v>345707.0</v>
      </c>
      <c r="F159" s="44" t="s">
        <v>244</v>
      </c>
      <c r="G159" s="45">
        <v>3.0</v>
      </c>
      <c r="H159" s="54">
        <v>14.446432789203179</v>
      </c>
      <c r="I159" s="47" t="s">
        <v>126</v>
      </c>
      <c r="J159" s="39" t="str">
        <f t="shared" si="2"/>
        <v>069527 - MARA 40</v>
      </c>
      <c r="K159" s="47">
        <f t="shared" si="3"/>
        <v>26.864</v>
      </c>
      <c r="L159" s="48">
        <v>14.72</v>
      </c>
      <c r="M159" s="49">
        <f t="shared" si="4"/>
        <v>26.864</v>
      </c>
      <c r="N159" s="39" t="s">
        <v>40</v>
      </c>
      <c r="O159" s="39" t="s">
        <v>41</v>
      </c>
      <c r="P159" s="39" t="s">
        <v>170</v>
      </c>
      <c r="Q159" s="47" t="str">
        <f t="shared" si="5"/>
        <v>50*60</v>
      </c>
      <c r="R159" s="50">
        <v>1.0</v>
      </c>
      <c r="S159" s="51">
        <v>0.0</v>
      </c>
      <c r="T159" s="51">
        <v>0.0</v>
      </c>
      <c r="U159" s="51">
        <v>0.0</v>
      </c>
      <c r="V159" s="39" t="s">
        <v>43</v>
      </c>
      <c r="W159" s="47" t="str">
        <f t="shared" si="6"/>
        <v>NOIR - 50*60 - PAS DE REHAUSSE - (Largeur 40mm Profondeur 15mm)</v>
      </c>
      <c r="X159" s="50">
        <v>0.0</v>
      </c>
      <c r="Y159" s="52" t="s">
        <v>44</v>
      </c>
      <c r="Z159" s="47" t="str">
        <f t="shared" si="7"/>
        <v>MARA 40 NOIR 50*60 VERRE</v>
      </c>
      <c r="AA159" s="39" t="s">
        <v>45</v>
      </c>
      <c r="AB159" s="39" t="s">
        <v>46</v>
      </c>
      <c r="AC159" s="47" t="str">
        <f t="shared" si="8"/>
        <v>MARA 40 NOIR 50*60 VERRE</v>
      </c>
      <c r="AD159" s="39" t="s">
        <v>127</v>
      </c>
      <c r="AE159" s="39" t="str">
        <f t="shared" si="9"/>
        <v>ROMY  50*60 NOIR VERRE PAS DE REHAUSSE - CADRES CLASSIQUES - Pas de passepartout - Dos classique sans chevalet (Largeur 40mm Profondeur 15mm)</v>
      </c>
      <c r="AF159" s="39" t="str">
        <f t="shared" si="1"/>
        <v>ROMY  50*60 NOIR VERRE PAS DE REHAUSSE - CADRES CLASSIQUES - Pas de passepartout - Dos classique sans chevalet (Largeur 40mm Profondeur 15mm)</v>
      </c>
      <c r="AG159" s="53">
        <f t="shared" si="10"/>
        <v>26.00357902</v>
      </c>
      <c r="AH159" s="39"/>
      <c r="AI159" s="39"/>
      <c r="AJ159" s="39"/>
      <c r="AK159" s="39"/>
      <c r="AL159" s="39"/>
      <c r="AM159" s="39"/>
      <c r="AN159" s="39"/>
      <c r="AO159" s="39"/>
      <c r="AP159" s="39"/>
    </row>
    <row r="160" ht="15.75" customHeight="1">
      <c r="A160" s="39">
        <v>1080.0</v>
      </c>
      <c r="B160" s="40" t="s">
        <v>211</v>
      </c>
      <c r="C160" s="41" t="s">
        <v>108</v>
      </c>
      <c r="D160" s="42" t="s">
        <v>245</v>
      </c>
      <c r="E160" s="43">
        <v>345707.0</v>
      </c>
      <c r="F160" s="44" t="s">
        <v>245</v>
      </c>
      <c r="G160" s="45">
        <v>0.0</v>
      </c>
      <c r="H160" s="54">
        <v>15.16666575306813</v>
      </c>
      <c r="I160" s="47" t="s">
        <v>126</v>
      </c>
      <c r="J160" s="39" t="str">
        <f t="shared" si="2"/>
        <v>069528 - MARA 40</v>
      </c>
      <c r="K160" s="47">
        <f t="shared" si="3"/>
        <v>28.19625</v>
      </c>
      <c r="L160" s="48">
        <v>15.45</v>
      </c>
      <c r="M160" s="49">
        <f t="shared" si="4"/>
        <v>28.19625</v>
      </c>
      <c r="N160" s="39" t="s">
        <v>40</v>
      </c>
      <c r="O160" s="39" t="s">
        <v>41</v>
      </c>
      <c r="P160" s="39" t="s">
        <v>170</v>
      </c>
      <c r="Q160" s="47" t="str">
        <f t="shared" si="5"/>
        <v>50*65</v>
      </c>
      <c r="R160" s="50">
        <v>1.0</v>
      </c>
      <c r="S160" s="51">
        <v>0.0</v>
      </c>
      <c r="T160" s="51">
        <v>0.0</v>
      </c>
      <c r="U160" s="51">
        <v>0.0</v>
      </c>
      <c r="V160" s="39" t="s">
        <v>43</v>
      </c>
      <c r="W160" s="47" t="str">
        <f t="shared" si="6"/>
        <v>NOIR - 50*65 - PAS DE REHAUSSE - (Largeur 40mm Profondeur 15mm)</v>
      </c>
      <c r="X160" s="50">
        <v>0.0</v>
      </c>
      <c r="Y160" s="52" t="s">
        <v>44</v>
      </c>
      <c r="Z160" s="47" t="str">
        <f t="shared" si="7"/>
        <v>MARA 40 NOIR 50*65 VERRE</v>
      </c>
      <c r="AA160" s="39" t="s">
        <v>45</v>
      </c>
      <c r="AB160" s="39" t="s">
        <v>46</v>
      </c>
      <c r="AC160" s="47" t="str">
        <f t="shared" si="8"/>
        <v>MARA 40 NOIR 50*65 VERRE</v>
      </c>
      <c r="AD160" s="39" t="s">
        <v>127</v>
      </c>
      <c r="AE160" s="39" t="str">
        <f t="shared" si="9"/>
        <v>ROMY  50*65 NOIR VERRE PAS DE REHAUSSE - CADRES CLASSIQUES - Pas de passepartout - Dos classique sans chevalet (Largeur 40mm Profondeur 15mm)</v>
      </c>
      <c r="AF160" s="39" t="str">
        <f t="shared" si="1"/>
        <v>ROMY  50*65 NOIR VERRE PAS DE REHAUSSE - CADRES CLASSIQUES - Pas de passepartout - Dos classique sans chevalet (Largeur 40mm Profondeur 15mm)</v>
      </c>
      <c r="AG160" s="53">
        <f t="shared" si="10"/>
        <v>27.29999836</v>
      </c>
      <c r="AH160" s="39"/>
      <c r="AI160" s="39"/>
      <c r="AJ160" s="39"/>
      <c r="AK160" s="39"/>
      <c r="AL160" s="39"/>
      <c r="AM160" s="39"/>
      <c r="AN160" s="39"/>
      <c r="AO160" s="39"/>
      <c r="AP160" s="39"/>
    </row>
    <row r="161" ht="15.75" customHeight="1">
      <c r="A161" s="39">
        <v>1081.0</v>
      </c>
      <c r="B161" s="40" t="s">
        <v>211</v>
      </c>
      <c r="C161" s="41" t="s">
        <v>110</v>
      </c>
      <c r="D161" s="42" t="s">
        <v>246</v>
      </c>
      <c r="E161" s="43">
        <v>345707.0</v>
      </c>
      <c r="F161" s="44" t="s">
        <v>246</v>
      </c>
      <c r="G161" s="45">
        <v>7.0</v>
      </c>
      <c r="H161" s="54">
        <v>15.88833918286081</v>
      </c>
      <c r="I161" s="47" t="s">
        <v>126</v>
      </c>
      <c r="J161" s="39" t="str">
        <f t="shared" si="2"/>
        <v>069529 - MARA 40</v>
      </c>
      <c r="K161" s="47">
        <f t="shared" si="3"/>
        <v>29.54675</v>
      </c>
      <c r="L161" s="48">
        <v>16.19</v>
      </c>
      <c r="M161" s="49">
        <f t="shared" si="4"/>
        <v>29.54675</v>
      </c>
      <c r="N161" s="39" t="s">
        <v>40</v>
      </c>
      <c r="O161" s="39" t="s">
        <v>41</v>
      </c>
      <c r="P161" s="39" t="s">
        <v>170</v>
      </c>
      <c r="Q161" s="47" t="str">
        <f t="shared" si="5"/>
        <v>50*70</v>
      </c>
      <c r="R161" s="50">
        <v>1.0</v>
      </c>
      <c r="S161" s="51">
        <v>0.0</v>
      </c>
      <c r="T161" s="51">
        <v>0.0</v>
      </c>
      <c r="U161" s="51">
        <v>0.0</v>
      </c>
      <c r="V161" s="39" t="s">
        <v>43</v>
      </c>
      <c r="W161" s="47" t="str">
        <f t="shared" si="6"/>
        <v>NOIR - 50*70 - PAS DE REHAUSSE - (Largeur 40mm Profondeur 15mm)</v>
      </c>
      <c r="X161" s="50">
        <v>0.0</v>
      </c>
      <c r="Y161" s="52" t="s">
        <v>44</v>
      </c>
      <c r="Z161" s="47" t="str">
        <f t="shared" si="7"/>
        <v>MARA 40 NOIR 50*70 VERRE</v>
      </c>
      <c r="AA161" s="39" t="s">
        <v>45</v>
      </c>
      <c r="AB161" s="39" t="s">
        <v>46</v>
      </c>
      <c r="AC161" s="47" t="str">
        <f t="shared" si="8"/>
        <v>MARA 40 NOIR 50*70 VERRE</v>
      </c>
      <c r="AD161" s="39" t="s">
        <v>127</v>
      </c>
      <c r="AE161" s="39" t="str">
        <f t="shared" si="9"/>
        <v>ROMY  50*70 NOIR VERRE PAS DE REHAUSSE - CADRES CLASSIQUES - Pas de passepartout - Dos classique sans chevalet (Largeur 40mm Profondeur 15mm)</v>
      </c>
      <c r="AF161" s="39" t="str">
        <f t="shared" si="1"/>
        <v>ROMY  50*70 NOIR VERRE PAS DE REHAUSSE - CADRES CLASSIQUES - Pas de passepartout - Dos classique sans chevalet (Largeur 40mm Profondeur 15mm)</v>
      </c>
      <c r="AG161" s="53">
        <f t="shared" si="10"/>
        <v>28.59901053</v>
      </c>
      <c r="AH161" s="39"/>
      <c r="AI161" s="39"/>
      <c r="AJ161" s="39"/>
      <c r="AK161" s="39"/>
      <c r="AL161" s="39"/>
      <c r="AM161" s="39"/>
      <c r="AN161" s="39"/>
      <c r="AO161" s="39"/>
      <c r="AP161" s="39"/>
    </row>
    <row r="162" ht="15.75" customHeight="1">
      <c r="A162" s="39">
        <v>1082.0</v>
      </c>
      <c r="B162" s="40" t="s">
        <v>211</v>
      </c>
      <c r="C162" s="41" t="s">
        <v>112</v>
      </c>
      <c r="D162" s="42" t="s">
        <v>247</v>
      </c>
      <c r="E162" s="43">
        <v>345707.0</v>
      </c>
      <c r="F162" s="44" t="s">
        <v>247</v>
      </c>
      <c r="G162" s="45">
        <v>5.0</v>
      </c>
      <c r="H162" s="54">
        <v>16.206105966518027</v>
      </c>
      <c r="I162" s="47" t="s">
        <v>126</v>
      </c>
      <c r="J162" s="39" t="str">
        <f t="shared" si="2"/>
        <v>054318 - MARA 40</v>
      </c>
      <c r="K162" s="47">
        <f t="shared" si="3"/>
        <v>30.13075</v>
      </c>
      <c r="L162" s="48">
        <v>16.51</v>
      </c>
      <c r="M162" s="49">
        <f t="shared" si="4"/>
        <v>30.13075</v>
      </c>
      <c r="N162" s="39" t="s">
        <v>40</v>
      </c>
      <c r="O162" s="39" t="s">
        <v>41</v>
      </c>
      <c r="P162" s="39" t="s">
        <v>170</v>
      </c>
      <c r="Q162" s="47" t="str">
        <f t="shared" si="5"/>
        <v>60*60</v>
      </c>
      <c r="R162" s="50">
        <v>1.0</v>
      </c>
      <c r="S162" s="51">
        <v>0.0</v>
      </c>
      <c r="T162" s="51">
        <v>0.0</v>
      </c>
      <c r="U162" s="51">
        <v>0.0</v>
      </c>
      <c r="V162" s="39" t="s">
        <v>43</v>
      </c>
      <c r="W162" s="47" t="str">
        <f t="shared" si="6"/>
        <v>NOIR - 60*60 - PAS DE REHAUSSE - (Largeur 40mm Profondeur 15mm)</v>
      </c>
      <c r="X162" s="50">
        <v>0.0</v>
      </c>
      <c r="Y162" s="52" t="s">
        <v>44</v>
      </c>
      <c r="Z162" s="47" t="str">
        <f t="shared" si="7"/>
        <v>MARA 40 NOIR 60*60 VERRE</v>
      </c>
      <c r="AA162" s="39" t="s">
        <v>45</v>
      </c>
      <c r="AB162" s="39" t="s">
        <v>46</v>
      </c>
      <c r="AC162" s="47" t="str">
        <f t="shared" si="8"/>
        <v>MARA 40 NOIR 60*60 VERRE</v>
      </c>
      <c r="AD162" s="39" t="s">
        <v>127</v>
      </c>
      <c r="AE162" s="39" t="str">
        <f t="shared" si="9"/>
        <v>ROMY  60*60 NOIR VERRE PAS DE REHAUSSE - CADRES CLASSIQUES - Pas de passepartout - Dos classique sans chevalet (Largeur 40mm Profondeur 15mm)</v>
      </c>
      <c r="AF162" s="39" t="str">
        <f t="shared" si="1"/>
        <v>ROMY  60*60 NOIR VERRE PAS DE REHAUSSE - CADRES CLASSIQUES - Pas de passepartout - Dos classique sans chevalet (Largeur 40mm Profondeur 15mm)</v>
      </c>
      <c r="AG162" s="53">
        <f t="shared" si="10"/>
        <v>29.17099074</v>
      </c>
      <c r="AH162" s="39"/>
      <c r="AI162" s="39"/>
      <c r="AJ162" s="39"/>
      <c r="AK162" s="39"/>
      <c r="AL162" s="39"/>
      <c r="AM162" s="39"/>
      <c r="AN162" s="39"/>
      <c r="AO162" s="39"/>
      <c r="AP162" s="39"/>
    </row>
    <row r="163" ht="15.75" customHeight="1">
      <c r="A163" s="39">
        <v>1083.0</v>
      </c>
      <c r="B163" s="40" t="s">
        <v>211</v>
      </c>
      <c r="C163" s="41" t="s">
        <v>114</v>
      </c>
      <c r="D163" s="42" t="s">
        <v>248</v>
      </c>
      <c r="E163" s="43">
        <v>345707.0</v>
      </c>
      <c r="F163" s="44" t="s">
        <v>248</v>
      </c>
      <c r="G163" s="45">
        <v>3.0</v>
      </c>
      <c r="H163" s="54">
        <v>19.099137735770764</v>
      </c>
      <c r="I163" s="47" t="s">
        <v>126</v>
      </c>
      <c r="J163" s="39" t="str">
        <f t="shared" si="2"/>
        <v>069530 - MARA 40</v>
      </c>
      <c r="K163" s="47">
        <f t="shared" si="3"/>
        <v>35.5145</v>
      </c>
      <c r="L163" s="48">
        <v>19.46</v>
      </c>
      <c r="M163" s="49">
        <f t="shared" si="4"/>
        <v>35.5145</v>
      </c>
      <c r="N163" s="39" t="s">
        <v>40</v>
      </c>
      <c r="O163" s="39" t="s">
        <v>41</v>
      </c>
      <c r="P163" s="39" t="s">
        <v>170</v>
      </c>
      <c r="Q163" s="47" t="str">
        <f t="shared" si="5"/>
        <v>60*80</v>
      </c>
      <c r="R163" s="50">
        <v>1.0</v>
      </c>
      <c r="S163" s="51">
        <v>0.0</v>
      </c>
      <c r="T163" s="51">
        <v>0.0</v>
      </c>
      <c r="U163" s="51">
        <v>0.0</v>
      </c>
      <c r="V163" s="39" t="s">
        <v>43</v>
      </c>
      <c r="W163" s="47" t="str">
        <f t="shared" si="6"/>
        <v>NOIR - 60*80 - PAS DE REHAUSSE - (Largeur 40mm Profondeur 15mm)</v>
      </c>
      <c r="X163" s="50">
        <v>0.0</v>
      </c>
      <c r="Y163" s="52" t="s">
        <v>44</v>
      </c>
      <c r="Z163" s="47" t="str">
        <f t="shared" si="7"/>
        <v>MARA 40 NOIR 60*80 VERRE</v>
      </c>
      <c r="AA163" s="39" t="s">
        <v>45</v>
      </c>
      <c r="AB163" s="39" t="s">
        <v>46</v>
      </c>
      <c r="AC163" s="47" t="str">
        <f t="shared" si="8"/>
        <v>MARA 40 NOIR 60*80 VERRE</v>
      </c>
      <c r="AD163" s="39" t="s">
        <v>127</v>
      </c>
      <c r="AE163" s="39" t="str">
        <f t="shared" si="9"/>
        <v>ROMY  60*80 NOIR VERRE PAS DE REHAUSSE - CADRES CLASSIQUES - Pas de passepartout - Dos classique sans chevalet (Largeur 40mm Profondeur 15mm)</v>
      </c>
      <c r="AF163" s="39" t="str">
        <f t="shared" si="1"/>
        <v>ROMY  60*80 NOIR VERRE PAS DE REHAUSSE - CADRES CLASSIQUES - Pas de passepartout - Dos classique sans chevalet (Largeur 40mm Profondeur 15mm)</v>
      </c>
      <c r="AG163" s="53">
        <f t="shared" si="10"/>
        <v>34.37844792</v>
      </c>
      <c r="AH163" s="39"/>
      <c r="AI163" s="39"/>
      <c r="AJ163" s="39"/>
      <c r="AK163" s="39"/>
      <c r="AL163" s="39"/>
      <c r="AM163" s="39"/>
      <c r="AN163" s="39"/>
      <c r="AO163" s="39"/>
      <c r="AP163" s="39"/>
    </row>
    <row r="164" ht="15.75" customHeight="1">
      <c r="A164" s="39">
        <v>1084.0</v>
      </c>
      <c r="B164" s="40" t="s">
        <v>211</v>
      </c>
      <c r="C164" s="41" t="s">
        <v>116</v>
      </c>
      <c r="D164" s="42" t="s">
        <v>249</v>
      </c>
      <c r="E164" s="43">
        <v>345707.0</v>
      </c>
      <c r="F164" s="44" t="s">
        <v>249</v>
      </c>
      <c r="G164" s="45">
        <v>0.0</v>
      </c>
      <c r="H164" s="54">
        <v>24.794740014014792</v>
      </c>
      <c r="I164" s="47" t="s">
        <v>126</v>
      </c>
      <c r="J164" s="39" t="str">
        <f t="shared" si="2"/>
        <v>069531 - MARA 40</v>
      </c>
      <c r="K164" s="47">
        <f t="shared" si="3"/>
        <v>46.11775</v>
      </c>
      <c r="L164" s="48">
        <v>25.27</v>
      </c>
      <c r="M164" s="49">
        <f t="shared" si="4"/>
        <v>46.11775</v>
      </c>
      <c r="N164" s="39" t="s">
        <v>40</v>
      </c>
      <c r="O164" s="39" t="s">
        <v>41</v>
      </c>
      <c r="P164" s="39" t="s">
        <v>170</v>
      </c>
      <c r="Q164" s="47" t="str">
        <f t="shared" si="5"/>
        <v>61*91,5</v>
      </c>
      <c r="R164" s="50">
        <v>1.0</v>
      </c>
      <c r="S164" s="51">
        <v>0.0</v>
      </c>
      <c r="T164" s="51">
        <v>0.0</v>
      </c>
      <c r="U164" s="51">
        <v>0.0</v>
      </c>
      <c r="V164" s="39" t="s">
        <v>43</v>
      </c>
      <c r="W164" s="47" t="str">
        <f t="shared" si="6"/>
        <v>NOIR - 61*91,5 - PAS DE REHAUSSE - (Largeur 40mm Profondeur 15mm)</v>
      </c>
      <c r="X164" s="50">
        <v>0.0</v>
      </c>
      <c r="Y164" s="52" t="s">
        <v>44</v>
      </c>
      <c r="Z164" s="47" t="str">
        <f t="shared" si="7"/>
        <v>MARA 40 NOIR 61*91,5 VERRE</v>
      </c>
      <c r="AA164" s="39" t="s">
        <v>45</v>
      </c>
      <c r="AB164" s="39" t="s">
        <v>46</v>
      </c>
      <c r="AC164" s="47" t="str">
        <f t="shared" si="8"/>
        <v>MARA 40 NOIR 61*91,5 VERRE</v>
      </c>
      <c r="AD164" s="39" t="s">
        <v>127</v>
      </c>
      <c r="AE164" s="39" t="str">
        <f t="shared" si="9"/>
        <v>ROMY  61*91,5 NOIR VERRE PAS DE REHAUSSE - CADRES CLASSIQUES - Pas de passepartout - Dos classique sans chevalet (Largeur 40mm Profondeur 15mm)</v>
      </c>
      <c r="AF164" s="39" t="str">
        <f t="shared" si="1"/>
        <v>ROMY  61*91,5 NOIR VERRE PAS DE REHAUSSE - CADRES CLASSIQUES - Pas de passepartout - Dos classique sans chevalet (Largeur 40mm Profondeur 15mm)</v>
      </c>
      <c r="AG164" s="53">
        <f t="shared" si="10"/>
        <v>44.63053203</v>
      </c>
      <c r="AH164" s="39"/>
      <c r="AI164" s="39"/>
      <c r="AJ164" s="39"/>
      <c r="AK164" s="39"/>
      <c r="AL164" s="39"/>
      <c r="AM164" s="39"/>
      <c r="AN164" s="39"/>
      <c r="AO164" s="39"/>
      <c r="AP164" s="39"/>
    </row>
    <row r="165" ht="15.75" customHeight="1">
      <c r="A165" s="39">
        <v>1085.0</v>
      </c>
      <c r="B165" s="40" t="s">
        <v>211</v>
      </c>
      <c r="C165" s="41" t="s">
        <v>118</v>
      </c>
      <c r="D165" s="42" t="s">
        <v>250</v>
      </c>
      <c r="E165" s="43">
        <v>345707.0</v>
      </c>
      <c r="F165" s="44" t="s">
        <v>250</v>
      </c>
      <c r="G165" s="45">
        <v>7.0</v>
      </c>
      <c r="H165" s="54">
        <v>19.279195976737004</v>
      </c>
      <c r="I165" s="47" t="s">
        <v>126</v>
      </c>
      <c r="J165" s="39" t="str">
        <f t="shared" si="2"/>
        <v>069532 - MARA 40</v>
      </c>
      <c r="K165" s="47">
        <f t="shared" si="3"/>
        <v>35.86125</v>
      </c>
      <c r="L165" s="48">
        <v>19.65</v>
      </c>
      <c r="M165" s="49">
        <f t="shared" si="4"/>
        <v>35.86125</v>
      </c>
      <c r="N165" s="39" t="s">
        <v>40</v>
      </c>
      <c r="O165" s="39" t="s">
        <v>41</v>
      </c>
      <c r="P165" s="39" t="s">
        <v>170</v>
      </c>
      <c r="Q165" s="47" t="str">
        <f t="shared" si="5"/>
        <v>70*70</v>
      </c>
      <c r="R165" s="50">
        <v>1.0</v>
      </c>
      <c r="S165" s="51">
        <v>0.0</v>
      </c>
      <c r="T165" s="51">
        <v>0.0</v>
      </c>
      <c r="U165" s="51">
        <v>0.0</v>
      </c>
      <c r="V165" s="39" t="s">
        <v>43</v>
      </c>
      <c r="W165" s="47" t="str">
        <f t="shared" si="6"/>
        <v>NOIR - 70*70 - PAS DE REHAUSSE - (Largeur 40mm Profondeur 15mm)</v>
      </c>
      <c r="X165" s="50">
        <v>0.0</v>
      </c>
      <c r="Y165" s="52" t="s">
        <v>44</v>
      </c>
      <c r="Z165" s="47" t="str">
        <f t="shared" si="7"/>
        <v>MARA 40 NOIR 70*70 VERRE</v>
      </c>
      <c r="AA165" s="39" t="s">
        <v>45</v>
      </c>
      <c r="AB165" s="39" t="s">
        <v>46</v>
      </c>
      <c r="AC165" s="47" t="str">
        <f t="shared" si="8"/>
        <v>MARA 40 NOIR 70*70 VERRE</v>
      </c>
      <c r="AD165" s="39" t="s">
        <v>127</v>
      </c>
      <c r="AE165" s="39" t="str">
        <f t="shared" si="9"/>
        <v>ROMY  70*70 NOIR VERRE PAS DE REHAUSSE - CADRES CLASSIQUES - Pas de passepartout - Dos classique sans chevalet (Largeur 40mm Profondeur 15mm)</v>
      </c>
      <c r="AF165" s="39" t="str">
        <f t="shared" si="1"/>
        <v>ROMY  70*70 NOIR VERRE PAS DE REHAUSSE - CADRES CLASSIQUES - Pas de passepartout - Dos classique sans chevalet (Largeur 40mm Profondeur 15mm)</v>
      </c>
      <c r="AG165" s="53">
        <f t="shared" si="10"/>
        <v>34.70255276</v>
      </c>
      <c r="AH165" s="39"/>
      <c r="AI165" s="39"/>
      <c r="AJ165" s="39"/>
      <c r="AK165" s="39"/>
      <c r="AL165" s="39"/>
      <c r="AM165" s="39"/>
      <c r="AN165" s="39"/>
      <c r="AO165" s="39"/>
      <c r="AP165" s="39"/>
    </row>
    <row r="166" ht="15.75" customHeight="1">
      <c r="A166" s="39">
        <v>1086.0</v>
      </c>
      <c r="B166" s="40" t="s">
        <v>211</v>
      </c>
      <c r="C166" s="41" t="s">
        <v>120</v>
      </c>
      <c r="D166" s="42" t="s">
        <v>251</v>
      </c>
      <c r="E166" s="43">
        <v>345707.0</v>
      </c>
      <c r="F166" s="44" t="s">
        <v>251</v>
      </c>
      <c r="G166" s="45">
        <v>4.0</v>
      </c>
      <c r="H166" s="54">
        <v>20.21261789790597</v>
      </c>
      <c r="I166" s="47" t="s">
        <v>126</v>
      </c>
      <c r="J166" s="39" t="str">
        <f t="shared" si="2"/>
        <v>069533 - MARA 40</v>
      </c>
      <c r="K166" s="47">
        <f t="shared" si="3"/>
        <v>37.595</v>
      </c>
      <c r="L166" s="48">
        <v>20.6</v>
      </c>
      <c r="M166" s="49">
        <f t="shared" si="4"/>
        <v>37.595</v>
      </c>
      <c r="N166" s="39" t="s">
        <v>40</v>
      </c>
      <c r="O166" s="39" t="s">
        <v>41</v>
      </c>
      <c r="P166" s="39" t="s">
        <v>170</v>
      </c>
      <c r="Q166" s="47" t="str">
        <f t="shared" si="5"/>
        <v>50*100</v>
      </c>
      <c r="R166" s="50">
        <v>1.0</v>
      </c>
      <c r="S166" s="51">
        <v>0.0</v>
      </c>
      <c r="T166" s="51">
        <v>0.0</v>
      </c>
      <c r="U166" s="51">
        <v>0.0</v>
      </c>
      <c r="V166" s="39" t="s">
        <v>43</v>
      </c>
      <c r="W166" s="47" t="str">
        <f t="shared" si="6"/>
        <v>NOIR - 50*100 - PAS DE REHAUSSE - (Largeur 40mm Profondeur 15mm)</v>
      </c>
      <c r="X166" s="50">
        <v>0.0</v>
      </c>
      <c r="Y166" s="52" t="s">
        <v>44</v>
      </c>
      <c r="Z166" s="47" t="str">
        <f t="shared" si="7"/>
        <v>MARA 40 NOIR 50*100 VERRE</v>
      </c>
      <c r="AA166" s="39" t="s">
        <v>45</v>
      </c>
      <c r="AB166" s="39" t="s">
        <v>46</v>
      </c>
      <c r="AC166" s="47" t="str">
        <f t="shared" si="8"/>
        <v>MARA 40 NOIR 50*100 VERRE</v>
      </c>
      <c r="AD166" s="39" t="s">
        <v>127</v>
      </c>
      <c r="AE166" s="39" t="str">
        <f t="shared" si="9"/>
        <v>ROMY  50*100 NOIR VERRE PAS DE REHAUSSE - CADRES CLASSIQUES - Pas de passepartout - Dos classique sans chevalet (Largeur 40mm Profondeur 15mm)</v>
      </c>
      <c r="AF166" s="39" t="str">
        <f t="shared" si="1"/>
        <v>ROMY  50*100 NOIR VERRE PAS DE REHAUSSE - CADRES CLASSIQUES - Pas de passepartout - Dos classique sans chevalet (Largeur 40mm Profondeur 15mm)</v>
      </c>
      <c r="AG166" s="53">
        <f t="shared" si="10"/>
        <v>36.38271222</v>
      </c>
      <c r="AH166" s="39"/>
      <c r="AI166" s="39"/>
      <c r="AJ166" s="39"/>
      <c r="AK166" s="39"/>
      <c r="AL166" s="39"/>
      <c r="AM166" s="39"/>
      <c r="AN166" s="39"/>
      <c r="AO166" s="39"/>
      <c r="AP166" s="39"/>
    </row>
    <row r="167" ht="15.75" customHeight="1">
      <c r="A167" s="39">
        <v>1087.0</v>
      </c>
      <c r="B167" s="40" t="s">
        <v>211</v>
      </c>
      <c r="C167" s="41" t="s">
        <v>122</v>
      </c>
      <c r="D167" s="42" t="s">
        <v>252</v>
      </c>
      <c r="E167" s="43">
        <v>345707.0</v>
      </c>
      <c r="F167" s="44" t="s">
        <v>252</v>
      </c>
      <c r="G167" s="45">
        <v>1.0</v>
      </c>
      <c r="H167" s="54">
        <v>24.3712430312622</v>
      </c>
      <c r="I167" s="47" t="s">
        <v>126</v>
      </c>
      <c r="J167" s="39" t="str">
        <f t="shared" si="2"/>
        <v>069534 - MARA 40</v>
      </c>
      <c r="K167" s="47">
        <f t="shared" si="3"/>
        <v>45.31475</v>
      </c>
      <c r="L167" s="48">
        <v>24.83</v>
      </c>
      <c r="M167" s="49">
        <f t="shared" si="4"/>
        <v>45.31475</v>
      </c>
      <c r="N167" s="39" t="s">
        <v>40</v>
      </c>
      <c r="O167" s="39" t="s">
        <v>41</v>
      </c>
      <c r="P167" s="39" t="s">
        <v>170</v>
      </c>
      <c r="Q167" s="47" t="str">
        <f t="shared" si="5"/>
        <v>70*100</v>
      </c>
      <c r="R167" s="50">
        <v>1.0</v>
      </c>
      <c r="S167" s="51">
        <v>0.0</v>
      </c>
      <c r="T167" s="51">
        <v>0.0</v>
      </c>
      <c r="U167" s="51">
        <v>0.0</v>
      </c>
      <c r="V167" s="39" t="s">
        <v>43</v>
      </c>
      <c r="W167" s="47" t="str">
        <f t="shared" si="6"/>
        <v>NOIR - 70*100 - PAS DE REHAUSSE - (Largeur 40mm Profondeur 15mm)</v>
      </c>
      <c r="X167" s="50">
        <v>0.0</v>
      </c>
      <c r="Y167" s="52" t="s">
        <v>44</v>
      </c>
      <c r="Z167" s="47" t="str">
        <f t="shared" si="7"/>
        <v>MARA 40 NOIR 70*100 VERRE</v>
      </c>
      <c r="AA167" s="39" t="s">
        <v>45</v>
      </c>
      <c r="AB167" s="39" t="s">
        <v>46</v>
      </c>
      <c r="AC167" s="47" t="str">
        <f t="shared" si="8"/>
        <v>MARA 40 NOIR 70*100 VERRE</v>
      </c>
      <c r="AD167" s="39" t="s">
        <v>127</v>
      </c>
      <c r="AE167" s="39" t="str">
        <f t="shared" si="9"/>
        <v>ROMY  70*100 NOIR VERRE PAS DE REHAUSSE - CADRES CLASSIQUES - Pas de passepartout - Dos classique sans chevalet (Largeur 40mm Profondeur 15mm)</v>
      </c>
      <c r="AF167" s="39" t="str">
        <f t="shared" si="1"/>
        <v>ROMY  70*100 NOIR VERRE PAS DE REHAUSSE - CADRES CLASSIQUES - Pas de passepartout - Dos classique sans chevalet (Largeur 40mm Profondeur 15mm)</v>
      </c>
      <c r="AG167" s="53">
        <f t="shared" si="10"/>
        <v>43.86823746</v>
      </c>
      <c r="AH167" s="39"/>
      <c r="AI167" s="39"/>
      <c r="AJ167" s="39"/>
      <c r="AK167" s="39"/>
      <c r="AL167" s="39"/>
      <c r="AM167" s="39"/>
      <c r="AN167" s="39"/>
      <c r="AO167" s="39"/>
      <c r="AP167" s="39"/>
    </row>
  </sheetData>
  <mergeCells count="1">
    <mergeCell ref="E2:F3"/>
  </mergeCells>
  <printOptions/>
  <pageMargins bottom="0.75" footer="0.0" header="0.0" left="0.7" right="0.7" top="0.75"/>
  <pageSetup paperSize="9" orientation="portrait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12.89"/>
    <col customWidth="1" min="2" max="2" width="28.56"/>
    <col customWidth="1" min="3" max="3" width="25.33"/>
    <col customWidth="1" min="4" max="4" width="30.56"/>
    <col customWidth="1" min="5" max="5" width="28.78"/>
    <col customWidth="1" min="6" max="6" width="23.22"/>
    <col customWidth="1" min="7" max="7" width="19.67"/>
  </cols>
  <sheetData>
    <row r="1">
      <c r="A1" s="55"/>
    </row>
    <row r="2">
      <c r="B2" s="56" t="s">
        <v>253</v>
      </c>
      <c r="C2" s="56" t="s">
        <v>254</v>
      </c>
      <c r="D2" s="57" t="s">
        <v>255</v>
      </c>
      <c r="E2" s="58" t="s">
        <v>256</v>
      </c>
      <c r="F2" s="58" t="s">
        <v>257</v>
      </c>
      <c r="G2" s="58" t="s">
        <v>258</v>
      </c>
    </row>
    <row r="3">
      <c r="B3" s="59" t="s">
        <v>259</v>
      </c>
      <c r="C3" s="59" t="s">
        <v>260</v>
      </c>
      <c r="D3" s="59" t="s">
        <v>261</v>
      </c>
      <c r="E3" s="59" t="s">
        <v>262</v>
      </c>
      <c r="F3" s="59" t="s">
        <v>263</v>
      </c>
    </row>
    <row r="4">
      <c r="A4" s="60"/>
      <c r="B4" s="61"/>
    </row>
    <row r="5">
      <c r="A5" s="55"/>
    </row>
    <row r="6">
      <c r="A6" s="55"/>
    </row>
    <row r="7">
      <c r="A7" s="55"/>
    </row>
    <row r="8">
      <c r="A8" s="55"/>
    </row>
    <row r="9">
      <c r="A9" s="55"/>
    </row>
    <row r="10">
      <c r="A10" s="55"/>
    </row>
    <row r="11">
      <c r="A11" s="55"/>
    </row>
    <row r="12">
      <c r="A12" s="55"/>
    </row>
    <row r="13">
      <c r="A13" s="55"/>
    </row>
    <row r="14">
      <c r="A14" s="55"/>
    </row>
    <row r="15">
      <c r="A15" s="55"/>
    </row>
    <row r="16">
      <c r="A16" s="55"/>
    </row>
    <row r="17">
      <c r="A17" s="55"/>
    </row>
    <row r="18">
      <c r="A18" s="55"/>
    </row>
    <row r="19">
      <c r="A19" s="55"/>
    </row>
    <row r="20">
      <c r="A20" s="55"/>
    </row>
    <row r="21">
      <c r="A21" s="55"/>
    </row>
    <row r="22">
      <c r="A22" s="55"/>
    </row>
    <row r="23">
      <c r="A23" s="55"/>
    </row>
    <row r="24">
      <c r="A24" s="55"/>
    </row>
    <row r="25">
      <c r="A25" s="55"/>
    </row>
    <row r="26">
      <c r="A26" s="55"/>
    </row>
    <row r="27">
      <c r="A27" s="55"/>
    </row>
    <row r="28">
      <c r="A28" s="55"/>
    </row>
    <row r="29">
      <c r="A29" s="55"/>
    </row>
    <row r="30">
      <c r="A30" s="55"/>
    </row>
    <row r="31">
      <c r="A31" s="55"/>
    </row>
    <row r="32">
      <c r="A32" s="55"/>
    </row>
    <row r="33">
      <c r="A33" s="55"/>
    </row>
    <row r="34">
      <c r="A34" s="55"/>
    </row>
    <row r="35">
      <c r="A35" s="55"/>
    </row>
    <row r="36">
      <c r="A36" s="55"/>
    </row>
    <row r="37">
      <c r="A37" s="55"/>
    </row>
    <row r="38">
      <c r="A38" s="55"/>
    </row>
    <row r="39">
      <c r="A39" s="55"/>
    </row>
    <row r="40">
      <c r="A40" s="55"/>
    </row>
    <row r="41">
      <c r="A41" s="55"/>
    </row>
    <row r="42">
      <c r="A42" s="55"/>
    </row>
    <row r="43">
      <c r="A43" s="55"/>
    </row>
    <row r="44">
      <c r="A44" s="55"/>
    </row>
    <row r="45">
      <c r="A45" s="55"/>
    </row>
    <row r="46">
      <c r="A46" s="55"/>
    </row>
    <row r="47">
      <c r="A47" s="55"/>
    </row>
    <row r="48">
      <c r="A48" s="55"/>
    </row>
    <row r="49">
      <c r="A49" s="55"/>
    </row>
    <row r="50">
      <c r="A50" s="55"/>
    </row>
    <row r="51">
      <c r="A51" s="55"/>
    </row>
    <row r="52">
      <c r="A52" s="55"/>
    </row>
    <row r="53">
      <c r="A53" s="55"/>
    </row>
    <row r="54">
      <c r="A54" s="55"/>
    </row>
    <row r="55">
      <c r="A55" s="55"/>
    </row>
    <row r="56">
      <c r="A56" s="55"/>
    </row>
    <row r="57">
      <c r="A57" s="55"/>
    </row>
    <row r="58">
      <c r="A58" s="55"/>
    </row>
    <row r="59">
      <c r="A59" s="55"/>
    </row>
    <row r="60">
      <c r="A60" s="55"/>
    </row>
    <row r="61">
      <c r="A61" s="55"/>
    </row>
    <row r="62">
      <c r="A62" s="55"/>
    </row>
    <row r="63">
      <c r="A63" s="55"/>
    </row>
    <row r="64">
      <c r="A64" s="55"/>
    </row>
    <row r="65">
      <c r="A65" s="55"/>
    </row>
    <row r="66">
      <c r="A66" s="55"/>
    </row>
    <row r="67">
      <c r="A67" s="55"/>
    </row>
    <row r="68">
      <c r="A68" s="55"/>
    </row>
    <row r="69">
      <c r="A69" s="55"/>
    </row>
    <row r="70">
      <c r="A70" s="55"/>
    </row>
    <row r="71">
      <c r="A71" s="55"/>
    </row>
    <row r="72">
      <c r="A72" s="55"/>
    </row>
    <row r="73">
      <c r="A73" s="55"/>
    </row>
    <row r="74">
      <c r="A74" s="55"/>
    </row>
    <row r="75">
      <c r="A75" s="55"/>
    </row>
    <row r="76">
      <c r="A76" s="55"/>
    </row>
    <row r="77">
      <c r="A77" s="55"/>
    </row>
    <row r="78">
      <c r="A78" s="55"/>
    </row>
    <row r="79">
      <c r="A79" s="55"/>
    </row>
    <row r="80">
      <c r="A80" s="55"/>
    </row>
    <row r="81">
      <c r="A81" s="55"/>
    </row>
    <row r="82">
      <c r="A82" s="55"/>
    </row>
    <row r="83">
      <c r="A83" s="55"/>
    </row>
    <row r="84">
      <c r="A84" s="55"/>
    </row>
    <row r="85">
      <c r="A85" s="55"/>
    </row>
    <row r="86">
      <c r="A86" s="55"/>
    </row>
    <row r="87">
      <c r="A87" s="55"/>
    </row>
    <row r="88">
      <c r="A88" s="55"/>
    </row>
    <row r="89">
      <c r="A89" s="55"/>
    </row>
    <row r="90">
      <c r="A90" s="55"/>
    </row>
    <row r="91">
      <c r="A91" s="55"/>
    </row>
    <row r="92">
      <c r="A92" s="55"/>
    </row>
    <row r="93">
      <c r="A93" s="55"/>
    </row>
    <row r="94">
      <c r="A94" s="55"/>
    </row>
    <row r="95">
      <c r="A95" s="55"/>
    </row>
    <row r="96">
      <c r="A96" s="55"/>
    </row>
    <row r="97">
      <c r="A97" s="55"/>
    </row>
    <row r="98">
      <c r="A98" s="55"/>
    </row>
    <row r="99">
      <c r="A99" s="55"/>
    </row>
    <row r="100">
      <c r="A100" s="55"/>
    </row>
    <row r="101">
      <c r="A101" s="55"/>
    </row>
    <row r="102">
      <c r="A102" s="55"/>
    </row>
    <row r="103">
      <c r="A103" s="55"/>
    </row>
    <row r="104">
      <c r="A104" s="55"/>
    </row>
    <row r="105">
      <c r="A105" s="55"/>
    </row>
    <row r="106">
      <c r="A106" s="55"/>
    </row>
    <row r="107">
      <c r="A107" s="55"/>
    </row>
    <row r="108">
      <c r="A108" s="55"/>
    </row>
    <row r="109">
      <c r="A109" s="55"/>
    </row>
    <row r="110">
      <c r="A110" s="55"/>
    </row>
    <row r="111">
      <c r="A111" s="55"/>
    </row>
    <row r="112">
      <c r="A112" s="55"/>
    </row>
    <row r="113">
      <c r="A113" s="55"/>
    </row>
    <row r="114">
      <c r="A114" s="55"/>
    </row>
    <row r="115">
      <c r="A115" s="55"/>
    </row>
    <row r="116">
      <c r="A116" s="55"/>
    </row>
    <row r="117">
      <c r="A117" s="55"/>
    </row>
    <row r="118">
      <c r="A118" s="55"/>
    </row>
    <row r="119">
      <c r="A119" s="55"/>
    </row>
    <row r="120">
      <c r="A120" s="55"/>
    </row>
    <row r="121">
      <c r="A121" s="55"/>
    </row>
    <row r="122">
      <c r="A122" s="55"/>
    </row>
    <row r="123">
      <c r="A123" s="55"/>
    </row>
    <row r="124">
      <c r="A124" s="55"/>
    </row>
    <row r="125">
      <c r="A125" s="55"/>
    </row>
    <row r="126">
      <c r="A126" s="55"/>
    </row>
    <row r="127">
      <c r="A127" s="55"/>
    </row>
    <row r="128">
      <c r="A128" s="55"/>
    </row>
    <row r="129">
      <c r="A129" s="55"/>
    </row>
    <row r="130">
      <c r="A130" s="55"/>
    </row>
    <row r="131">
      <c r="A131" s="55"/>
    </row>
    <row r="132">
      <c r="A132" s="55"/>
    </row>
    <row r="133">
      <c r="A133" s="55"/>
    </row>
    <row r="134">
      <c r="A134" s="55"/>
    </row>
    <row r="135">
      <c r="A135" s="55"/>
    </row>
    <row r="136">
      <c r="A136" s="55"/>
    </row>
    <row r="137">
      <c r="A137" s="55"/>
    </row>
    <row r="138">
      <c r="A138" s="55"/>
    </row>
    <row r="139">
      <c r="A139" s="55"/>
    </row>
    <row r="140">
      <c r="A140" s="55"/>
    </row>
    <row r="141">
      <c r="A141" s="55"/>
    </row>
    <row r="142">
      <c r="A142" s="55"/>
    </row>
    <row r="143">
      <c r="A143" s="55"/>
    </row>
    <row r="144">
      <c r="A144" s="55"/>
    </row>
    <row r="145">
      <c r="A145" s="55"/>
    </row>
    <row r="146">
      <c r="A146" s="55"/>
    </row>
    <row r="147">
      <c r="A147" s="55"/>
    </row>
    <row r="148">
      <c r="A148" s="55"/>
    </row>
    <row r="149">
      <c r="A149" s="55"/>
    </row>
    <row r="150">
      <c r="A150" s="55"/>
    </row>
    <row r="151">
      <c r="A151" s="55"/>
    </row>
    <row r="152">
      <c r="A152" s="55"/>
    </row>
    <row r="153">
      <c r="A153" s="55"/>
    </row>
    <row r="154">
      <c r="A154" s="55"/>
    </row>
    <row r="155">
      <c r="A155" s="55"/>
    </row>
    <row r="156">
      <c r="A156" s="55"/>
    </row>
    <row r="157">
      <c r="A157" s="55"/>
    </row>
    <row r="158">
      <c r="A158" s="55"/>
    </row>
    <row r="159">
      <c r="A159" s="55"/>
    </row>
    <row r="160">
      <c r="A160" s="55"/>
    </row>
    <row r="161">
      <c r="A161" s="55"/>
    </row>
    <row r="162">
      <c r="A162" s="55"/>
    </row>
    <row r="163">
      <c r="A163" s="55"/>
    </row>
    <row r="164">
      <c r="A164" s="55"/>
    </row>
    <row r="165">
      <c r="A165" s="55"/>
    </row>
    <row r="166">
      <c r="A166" s="55"/>
    </row>
    <row r="167">
      <c r="A167" s="55"/>
    </row>
    <row r="168">
      <c r="A168" s="55"/>
    </row>
    <row r="169">
      <c r="A169" s="55"/>
    </row>
    <row r="170">
      <c r="A170" s="55"/>
    </row>
    <row r="171">
      <c r="A171" s="55"/>
    </row>
    <row r="172">
      <c r="A172" s="55"/>
    </row>
    <row r="173">
      <c r="A173" s="55"/>
    </row>
    <row r="174">
      <c r="A174" s="55"/>
    </row>
    <row r="175">
      <c r="A175" s="55"/>
    </row>
    <row r="176">
      <c r="A176" s="55"/>
    </row>
    <row r="177">
      <c r="A177" s="55"/>
    </row>
    <row r="178">
      <c r="A178" s="55"/>
    </row>
    <row r="179">
      <c r="A179" s="55"/>
    </row>
    <row r="180">
      <c r="A180" s="55"/>
    </row>
    <row r="181">
      <c r="A181" s="55"/>
    </row>
    <row r="182">
      <c r="A182" s="55"/>
    </row>
    <row r="183">
      <c r="A183" s="55"/>
    </row>
    <row r="184">
      <c r="A184" s="55"/>
    </row>
    <row r="185">
      <c r="A185" s="55"/>
    </row>
    <row r="186">
      <c r="A186" s="55"/>
    </row>
    <row r="187">
      <c r="A187" s="55"/>
    </row>
    <row r="188">
      <c r="A188" s="55"/>
    </row>
    <row r="189">
      <c r="A189" s="55"/>
    </row>
    <row r="190">
      <c r="A190" s="55"/>
    </row>
    <row r="191">
      <c r="A191" s="55"/>
    </row>
    <row r="192">
      <c r="A192" s="55"/>
    </row>
    <row r="193">
      <c r="A193" s="55"/>
    </row>
    <row r="194">
      <c r="A194" s="55"/>
    </row>
    <row r="195">
      <c r="A195" s="55"/>
    </row>
    <row r="196">
      <c r="A196" s="55"/>
    </row>
    <row r="197">
      <c r="A197" s="55"/>
    </row>
    <row r="198">
      <c r="A198" s="55"/>
    </row>
    <row r="199">
      <c r="A199" s="55"/>
    </row>
    <row r="200">
      <c r="A200" s="55"/>
    </row>
    <row r="201">
      <c r="A201" s="55"/>
    </row>
    <row r="202">
      <c r="A202" s="55"/>
    </row>
    <row r="203">
      <c r="A203" s="55"/>
    </row>
    <row r="204">
      <c r="A204" s="55"/>
    </row>
    <row r="205">
      <c r="A205" s="55"/>
    </row>
    <row r="206">
      <c r="A206" s="55"/>
    </row>
    <row r="207">
      <c r="A207" s="55"/>
    </row>
    <row r="208">
      <c r="A208" s="55"/>
    </row>
    <row r="209">
      <c r="A209" s="55"/>
    </row>
    <row r="210">
      <c r="A210" s="55"/>
    </row>
    <row r="211">
      <c r="A211" s="55"/>
    </row>
    <row r="212">
      <c r="A212" s="55"/>
    </row>
    <row r="213">
      <c r="A213" s="55"/>
    </row>
    <row r="214">
      <c r="A214" s="55"/>
    </row>
    <row r="215">
      <c r="A215" s="55"/>
    </row>
    <row r="216">
      <c r="A216" s="55"/>
    </row>
    <row r="217">
      <c r="A217" s="55"/>
    </row>
    <row r="218">
      <c r="A218" s="55"/>
    </row>
    <row r="219">
      <c r="A219" s="55"/>
    </row>
    <row r="220">
      <c r="A220" s="55"/>
    </row>
    <row r="221">
      <c r="A221" s="55"/>
    </row>
    <row r="222">
      <c r="A222" s="55"/>
    </row>
    <row r="223">
      <c r="A223" s="55"/>
    </row>
    <row r="224">
      <c r="A224" s="55"/>
    </row>
    <row r="225">
      <c r="A225" s="55"/>
    </row>
    <row r="226">
      <c r="A226" s="55"/>
    </row>
    <row r="227">
      <c r="A227" s="55"/>
    </row>
    <row r="228">
      <c r="A228" s="55"/>
    </row>
    <row r="229">
      <c r="A229" s="55"/>
    </row>
    <row r="230">
      <c r="A230" s="55"/>
    </row>
    <row r="231">
      <c r="A231" s="55"/>
    </row>
    <row r="232">
      <c r="A232" s="55"/>
    </row>
    <row r="233">
      <c r="A233" s="55"/>
    </row>
    <row r="234">
      <c r="A234" s="55"/>
    </row>
    <row r="235">
      <c r="A235" s="55"/>
    </row>
    <row r="236">
      <c r="A236" s="55"/>
    </row>
    <row r="237">
      <c r="A237" s="55"/>
    </row>
    <row r="238">
      <c r="A238" s="55"/>
    </row>
    <row r="239">
      <c r="A239" s="55"/>
    </row>
    <row r="240">
      <c r="A240" s="55"/>
    </row>
    <row r="241">
      <c r="A241" s="55"/>
    </row>
    <row r="242">
      <c r="A242" s="55"/>
    </row>
    <row r="243">
      <c r="A243" s="55"/>
    </row>
    <row r="244">
      <c r="A244" s="55"/>
    </row>
    <row r="245">
      <c r="A245" s="55"/>
    </row>
    <row r="246">
      <c r="A246" s="55"/>
    </row>
    <row r="247">
      <c r="A247" s="55"/>
    </row>
    <row r="248">
      <c r="A248" s="55"/>
    </row>
    <row r="249">
      <c r="A249" s="55"/>
    </row>
    <row r="250">
      <c r="A250" s="55"/>
    </row>
    <row r="251">
      <c r="A251" s="55"/>
    </row>
    <row r="252">
      <c r="A252" s="55"/>
    </row>
    <row r="253">
      <c r="A253" s="55"/>
    </row>
    <row r="254">
      <c r="A254" s="55"/>
    </row>
    <row r="255">
      <c r="A255" s="55"/>
    </row>
    <row r="256">
      <c r="A256" s="55"/>
    </row>
    <row r="257">
      <c r="A257" s="55"/>
    </row>
    <row r="258">
      <c r="A258" s="55"/>
    </row>
    <row r="259">
      <c r="A259" s="55"/>
    </row>
    <row r="260">
      <c r="A260" s="55"/>
    </row>
    <row r="261">
      <c r="A261" s="55"/>
    </row>
    <row r="262">
      <c r="A262" s="55"/>
    </row>
    <row r="263">
      <c r="A263" s="55"/>
    </row>
    <row r="264">
      <c r="A264" s="55"/>
    </row>
    <row r="265">
      <c r="A265" s="55"/>
    </row>
    <row r="266">
      <c r="A266" s="55"/>
    </row>
    <row r="267">
      <c r="A267" s="55"/>
    </row>
    <row r="268">
      <c r="A268" s="55"/>
    </row>
    <row r="269">
      <c r="A269" s="55"/>
    </row>
    <row r="270">
      <c r="A270" s="55"/>
    </row>
    <row r="271">
      <c r="A271" s="55"/>
    </row>
    <row r="272">
      <c r="A272" s="55"/>
    </row>
    <row r="273">
      <c r="A273" s="55"/>
    </row>
    <row r="274">
      <c r="A274" s="55"/>
    </row>
    <row r="275">
      <c r="A275" s="55"/>
    </row>
    <row r="276">
      <c r="A276" s="55"/>
    </row>
    <row r="277">
      <c r="A277" s="55"/>
    </row>
    <row r="278">
      <c r="A278" s="55"/>
    </row>
    <row r="279">
      <c r="A279" s="55"/>
    </row>
    <row r="280">
      <c r="A280" s="55"/>
    </row>
    <row r="281">
      <c r="A281" s="55"/>
    </row>
    <row r="282">
      <c r="A282" s="55"/>
    </row>
    <row r="283">
      <c r="A283" s="55"/>
    </row>
    <row r="284">
      <c r="A284" s="55"/>
    </row>
    <row r="285">
      <c r="A285" s="55"/>
    </row>
    <row r="286">
      <c r="A286" s="55"/>
    </row>
    <row r="287">
      <c r="A287" s="55"/>
    </row>
    <row r="288">
      <c r="A288" s="55"/>
    </row>
    <row r="289">
      <c r="A289" s="55"/>
    </row>
    <row r="290">
      <c r="A290" s="55"/>
    </row>
    <row r="291">
      <c r="A291" s="55"/>
    </row>
    <row r="292">
      <c r="A292" s="55"/>
    </row>
    <row r="293">
      <c r="A293" s="55"/>
    </row>
    <row r="294">
      <c r="A294" s="55"/>
    </row>
    <row r="295">
      <c r="A295" s="55"/>
    </row>
    <row r="296">
      <c r="A296" s="55"/>
    </row>
    <row r="297">
      <c r="A297" s="55"/>
    </row>
    <row r="298">
      <c r="A298" s="55"/>
    </row>
    <row r="299">
      <c r="A299" s="55"/>
    </row>
    <row r="300">
      <c r="A300" s="55"/>
    </row>
    <row r="301">
      <c r="A301" s="55"/>
    </row>
    <row r="302">
      <c r="A302" s="55"/>
    </row>
    <row r="303">
      <c r="A303" s="55"/>
    </row>
    <row r="304">
      <c r="A304" s="55"/>
    </row>
    <row r="305">
      <c r="A305" s="55"/>
    </row>
    <row r="306">
      <c r="A306" s="55"/>
    </row>
    <row r="307">
      <c r="A307" s="55"/>
    </row>
    <row r="308">
      <c r="A308" s="55"/>
    </row>
    <row r="309">
      <c r="A309" s="55"/>
    </row>
    <row r="310">
      <c r="A310" s="55"/>
    </row>
    <row r="311">
      <c r="A311" s="55"/>
    </row>
    <row r="312">
      <c r="A312" s="55"/>
    </row>
    <row r="313">
      <c r="A313" s="55"/>
    </row>
    <row r="314">
      <c r="A314" s="55"/>
    </row>
    <row r="315">
      <c r="A315" s="55"/>
    </row>
    <row r="316">
      <c r="A316" s="55"/>
    </row>
    <row r="317">
      <c r="A317" s="55"/>
    </row>
    <row r="318">
      <c r="A318" s="55"/>
    </row>
    <row r="319">
      <c r="A319" s="55"/>
    </row>
    <row r="320">
      <c r="A320" s="55"/>
    </row>
    <row r="321">
      <c r="A321" s="55"/>
    </row>
    <row r="322">
      <c r="A322" s="55"/>
    </row>
    <row r="323">
      <c r="A323" s="55"/>
    </row>
    <row r="324">
      <c r="A324" s="55"/>
    </row>
    <row r="325">
      <c r="A325" s="55"/>
    </row>
    <row r="326">
      <c r="A326" s="55"/>
    </row>
    <row r="327">
      <c r="A327" s="55"/>
    </row>
    <row r="328">
      <c r="A328" s="55"/>
    </row>
    <row r="329">
      <c r="A329" s="55"/>
    </row>
    <row r="330">
      <c r="A330" s="55"/>
    </row>
    <row r="331">
      <c r="A331" s="55"/>
    </row>
    <row r="332">
      <c r="A332" s="55"/>
    </row>
    <row r="333">
      <c r="A333" s="55"/>
    </row>
    <row r="334">
      <c r="A334" s="55"/>
    </row>
    <row r="335">
      <c r="A335" s="55"/>
    </row>
    <row r="336">
      <c r="A336" s="55"/>
    </row>
    <row r="337">
      <c r="A337" s="55"/>
    </row>
    <row r="338">
      <c r="A338" s="55"/>
    </row>
    <row r="339">
      <c r="A339" s="55"/>
    </row>
    <row r="340">
      <c r="A340" s="55"/>
    </row>
    <row r="341">
      <c r="A341" s="55"/>
    </row>
    <row r="342">
      <c r="A342" s="55"/>
    </row>
    <row r="343">
      <c r="A343" s="55"/>
    </row>
    <row r="344">
      <c r="A344" s="55"/>
    </row>
    <row r="345">
      <c r="A345" s="55"/>
    </row>
    <row r="346">
      <c r="A346" s="55"/>
    </row>
    <row r="347">
      <c r="A347" s="55"/>
    </row>
    <row r="348">
      <c r="A348" s="55"/>
    </row>
    <row r="349">
      <c r="A349" s="55"/>
    </row>
    <row r="350">
      <c r="A350" s="55"/>
    </row>
    <row r="351">
      <c r="A351" s="55"/>
    </row>
    <row r="352">
      <c r="A352" s="55"/>
    </row>
    <row r="353">
      <c r="A353" s="55"/>
    </row>
    <row r="354">
      <c r="A354" s="55"/>
    </row>
    <row r="355">
      <c r="A355" s="55"/>
    </row>
    <row r="356">
      <c r="A356" s="55"/>
    </row>
    <row r="357">
      <c r="A357" s="55"/>
    </row>
    <row r="358">
      <c r="A358" s="55"/>
    </row>
    <row r="359">
      <c r="A359" s="55"/>
    </row>
    <row r="360">
      <c r="A360" s="55"/>
    </row>
    <row r="361">
      <c r="A361" s="55"/>
    </row>
    <row r="362">
      <c r="A362" s="55"/>
    </row>
    <row r="363">
      <c r="A363" s="55"/>
    </row>
    <row r="364">
      <c r="A364" s="55"/>
    </row>
    <row r="365">
      <c r="A365" s="55"/>
    </row>
    <row r="366">
      <c r="A366" s="55"/>
    </row>
    <row r="367">
      <c r="A367" s="55"/>
    </row>
    <row r="368">
      <c r="A368" s="55"/>
    </row>
    <row r="369">
      <c r="A369" s="55"/>
    </row>
    <row r="370">
      <c r="A370" s="55"/>
    </row>
    <row r="371">
      <c r="A371" s="55"/>
    </row>
    <row r="372">
      <c r="A372" s="55"/>
    </row>
    <row r="373">
      <c r="A373" s="55"/>
    </row>
    <row r="374">
      <c r="A374" s="55"/>
    </row>
    <row r="375">
      <c r="A375" s="55"/>
    </row>
    <row r="376">
      <c r="A376" s="55"/>
    </row>
    <row r="377">
      <c r="A377" s="55"/>
    </row>
    <row r="378">
      <c r="A378" s="55"/>
    </row>
    <row r="379">
      <c r="A379" s="55"/>
    </row>
    <row r="380">
      <c r="A380" s="55"/>
    </row>
    <row r="381">
      <c r="A381" s="55"/>
    </row>
    <row r="382">
      <c r="A382" s="55"/>
    </row>
    <row r="383">
      <c r="A383" s="55"/>
    </row>
    <row r="384">
      <c r="A384" s="55"/>
    </row>
    <row r="385">
      <c r="A385" s="55"/>
    </row>
    <row r="386">
      <c r="A386" s="55"/>
    </row>
    <row r="387">
      <c r="A387" s="55"/>
    </row>
    <row r="388">
      <c r="A388" s="55"/>
    </row>
    <row r="389">
      <c r="A389" s="55"/>
    </row>
    <row r="390">
      <c r="A390" s="55"/>
    </row>
    <row r="391">
      <c r="A391" s="55"/>
    </row>
    <row r="392">
      <c r="A392" s="55"/>
    </row>
    <row r="393">
      <c r="A393" s="55"/>
    </row>
    <row r="394">
      <c r="A394" s="55"/>
    </row>
    <row r="395">
      <c r="A395" s="55"/>
    </row>
    <row r="396">
      <c r="A396" s="55"/>
    </row>
    <row r="397">
      <c r="A397" s="55"/>
    </row>
    <row r="398">
      <c r="A398" s="55"/>
    </row>
    <row r="399">
      <c r="A399" s="55"/>
    </row>
    <row r="400">
      <c r="A400" s="55"/>
    </row>
    <row r="401">
      <c r="A401" s="55"/>
    </row>
    <row r="402">
      <c r="A402" s="55"/>
    </row>
    <row r="403">
      <c r="A403" s="55"/>
    </row>
    <row r="404">
      <c r="A404" s="55"/>
    </row>
    <row r="405">
      <c r="A405" s="55"/>
    </row>
    <row r="406">
      <c r="A406" s="55"/>
    </row>
    <row r="407">
      <c r="A407" s="55"/>
    </row>
    <row r="408">
      <c r="A408" s="55"/>
    </row>
    <row r="409">
      <c r="A409" s="55"/>
    </row>
    <row r="410">
      <c r="A410" s="55"/>
    </row>
    <row r="411">
      <c r="A411" s="55"/>
    </row>
    <row r="412">
      <c r="A412" s="55"/>
    </row>
    <row r="413">
      <c r="A413" s="55"/>
    </row>
    <row r="414">
      <c r="A414" s="55"/>
    </row>
    <row r="415">
      <c r="A415" s="55"/>
    </row>
    <row r="416">
      <c r="A416" s="55"/>
    </row>
    <row r="417">
      <c r="A417" s="55"/>
    </row>
    <row r="418">
      <c r="A418" s="55"/>
    </row>
    <row r="419">
      <c r="A419" s="55"/>
    </row>
    <row r="420">
      <c r="A420" s="55"/>
    </row>
    <row r="421">
      <c r="A421" s="55"/>
    </row>
    <row r="422">
      <c r="A422" s="55"/>
    </row>
    <row r="423">
      <c r="A423" s="55"/>
    </row>
    <row r="424">
      <c r="A424" s="55"/>
    </row>
    <row r="425">
      <c r="A425" s="55"/>
    </row>
    <row r="426">
      <c r="A426" s="55"/>
    </row>
    <row r="427">
      <c r="A427" s="55"/>
    </row>
    <row r="428">
      <c r="A428" s="55"/>
    </row>
    <row r="429">
      <c r="A429" s="55"/>
    </row>
    <row r="430">
      <c r="A430" s="55"/>
    </row>
    <row r="431">
      <c r="A431" s="55"/>
    </row>
    <row r="432">
      <c r="A432" s="55"/>
    </row>
    <row r="433">
      <c r="A433" s="55"/>
    </row>
    <row r="434">
      <c r="A434" s="55"/>
    </row>
    <row r="435">
      <c r="A435" s="55"/>
    </row>
    <row r="436">
      <c r="A436" s="55"/>
    </row>
    <row r="437">
      <c r="A437" s="55"/>
    </row>
    <row r="438">
      <c r="A438" s="55"/>
    </row>
    <row r="439">
      <c r="A439" s="55"/>
    </row>
    <row r="440">
      <c r="A440" s="55"/>
    </row>
    <row r="441">
      <c r="A441" s="55"/>
    </row>
    <row r="442">
      <c r="A442" s="55"/>
    </row>
    <row r="443">
      <c r="A443" s="55"/>
    </row>
    <row r="444">
      <c r="A444" s="55"/>
    </row>
    <row r="445">
      <c r="A445" s="55"/>
    </row>
    <row r="446">
      <c r="A446" s="55"/>
    </row>
    <row r="447">
      <c r="A447" s="55"/>
    </row>
    <row r="448">
      <c r="A448" s="55"/>
    </row>
    <row r="449">
      <c r="A449" s="55"/>
    </row>
    <row r="450">
      <c r="A450" s="55"/>
    </row>
    <row r="451">
      <c r="A451" s="55"/>
    </row>
    <row r="452">
      <c r="A452" s="55"/>
    </row>
    <row r="453">
      <c r="A453" s="55"/>
    </row>
    <row r="454">
      <c r="A454" s="55"/>
    </row>
    <row r="455">
      <c r="A455" s="55"/>
    </row>
    <row r="456">
      <c r="A456" s="55"/>
    </row>
    <row r="457">
      <c r="A457" s="55"/>
    </row>
    <row r="458">
      <c r="A458" s="55"/>
    </row>
    <row r="459">
      <c r="A459" s="55"/>
    </row>
    <row r="460">
      <c r="A460" s="55"/>
    </row>
    <row r="461">
      <c r="A461" s="55"/>
    </row>
    <row r="462">
      <c r="A462" s="55"/>
    </row>
    <row r="463">
      <c r="A463" s="55"/>
    </row>
    <row r="464">
      <c r="A464" s="55"/>
    </row>
    <row r="465">
      <c r="A465" s="55"/>
    </row>
    <row r="466">
      <c r="A466" s="55"/>
    </row>
    <row r="467">
      <c r="A467" s="55"/>
    </row>
    <row r="468">
      <c r="A468" s="55"/>
    </row>
    <row r="469">
      <c r="A469" s="55"/>
    </row>
    <row r="470">
      <c r="A470" s="55"/>
    </row>
    <row r="471">
      <c r="A471" s="55"/>
    </row>
    <row r="472">
      <c r="A472" s="55"/>
    </row>
    <row r="473">
      <c r="A473" s="55"/>
    </row>
    <row r="474">
      <c r="A474" s="55"/>
    </row>
    <row r="475">
      <c r="A475" s="55"/>
    </row>
    <row r="476">
      <c r="A476" s="55"/>
    </row>
    <row r="477">
      <c r="A477" s="55"/>
    </row>
    <row r="478">
      <c r="A478" s="55"/>
    </row>
    <row r="479">
      <c r="A479" s="55"/>
    </row>
    <row r="480">
      <c r="A480" s="55"/>
    </row>
    <row r="481">
      <c r="A481" s="55"/>
    </row>
    <row r="482">
      <c r="A482" s="55"/>
    </row>
    <row r="483">
      <c r="A483" s="55"/>
    </row>
    <row r="484">
      <c r="A484" s="55"/>
    </row>
    <row r="485">
      <c r="A485" s="55"/>
    </row>
    <row r="486">
      <c r="A486" s="55"/>
    </row>
    <row r="487">
      <c r="A487" s="55"/>
    </row>
    <row r="488">
      <c r="A488" s="55"/>
    </row>
    <row r="489">
      <c r="A489" s="55"/>
    </row>
    <row r="490">
      <c r="A490" s="55"/>
    </row>
    <row r="491">
      <c r="A491" s="55"/>
    </row>
    <row r="492">
      <c r="A492" s="55"/>
    </row>
    <row r="493">
      <c r="A493" s="55"/>
    </row>
    <row r="494">
      <c r="A494" s="55"/>
    </row>
    <row r="495">
      <c r="A495" s="55"/>
    </row>
    <row r="496">
      <c r="A496" s="55"/>
    </row>
    <row r="497">
      <c r="A497" s="55"/>
    </row>
    <row r="498">
      <c r="A498" s="55"/>
    </row>
    <row r="499">
      <c r="A499" s="55"/>
    </row>
    <row r="500">
      <c r="A500" s="55"/>
    </row>
    <row r="501">
      <c r="A501" s="55"/>
    </row>
    <row r="502">
      <c r="A502" s="55"/>
    </row>
    <row r="503">
      <c r="A503" s="55"/>
    </row>
    <row r="504">
      <c r="A504" s="55"/>
    </row>
    <row r="505">
      <c r="A505" s="55"/>
    </row>
    <row r="506">
      <c r="A506" s="55"/>
    </row>
    <row r="507">
      <c r="A507" s="55"/>
    </row>
    <row r="508">
      <c r="A508" s="55"/>
    </row>
    <row r="509">
      <c r="A509" s="55"/>
    </row>
    <row r="510">
      <c r="A510" s="55"/>
    </row>
    <row r="511">
      <c r="A511" s="55"/>
    </row>
    <row r="512">
      <c r="A512" s="55"/>
    </row>
    <row r="513">
      <c r="A513" s="55"/>
    </row>
    <row r="514">
      <c r="A514" s="55"/>
    </row>
    <row r="515">
      <c r="A515" s="55"/>
    </row>
    <row r="516">
      <c r="A516" s="55"/>
    </row>
    <row r="517">
      <c r="A517" s="55"/>
    </row>
    <row r="518">
      <c r="A518" s="55"/>
    </row>
    <row r="519">
      <c r="A519" s="55"/>
    </row>
    <row r="520">
      <c r="A520" s="55"/>
    </row>
    <row r="521">
      <c r="A521" s="55"/>
    </row>
    <row r="522">
      <c r="A522" s="55"/>
    </row>
    <row r="523">
      <c r="A523" s="55"/>
    </row>
    <row r="524">
      <c r="A524" s="55"/>
    </row>
    <row r="525">
      <c r="A525" s="55"/>
    </row>
    <row r="526">
      <c r="A526" s="55"/>
    </row>
    <row r="527">
      <c r="A527" s="55"/>
    </row>
    <row r="528">
      <c r="A528" s="55"/>
    </row>
    <row r="529">
      <c r="A529" s="55"/>
    </row>
    <row r="530">
      <c r="A530" s="55"/>
    </row>
    <row r="531">
      <c r="A531" s="55"/>
    </row>
    <row r="532">
      <c r="A532" s="55"/>
    </row>
    <row r="533">
      <c r="A533" s="55"/>
    </row>
    <row r="534">
      <c r="A534" s="55"/>
    </row>
    <row r="535">
      <c r="A535" s="55"/>
    </row>
    <row r="536">
      <c r="A536" s="55"/>
    </row>
    <row r="537">
      <c r="A537" s="55"/>
    </row>
    <row r="538">
      <c r="A538" s="55"/>
    </row>
    <row r="539">
      <c r="A539" s="55"/>
    </row>
    <row r="540">
      <c r="A540" s="55"/>
    </row>
    <row r="541">
      <c r="A541" s="55"/>
    </row>
    <row r="542">
      <c r="A542" s="55"/>
    </row>
    <row r="543">
      <c r="A543" s="55"/>
    </row>
    <row r="544">
      <c r="A544" s="55"/>
    </row>
    <row r="545">
      <c r="A545" s="55"/>
    </row>
    <row r="546">
      <c r="A546" s="55"/>
    </row>
    <row r="547">
      <c r="A547" s="55"/>
    </row>
    <row r="548">
      <c r="A548" s="55"/>
    </row>
    <row r="549">
      <c r="A549" s="55"/>
    </row>
    <row r="550">
      <c r="A550" s="55"/>
    </row>
    <row r="551">
      <c r="A551" s="55"/>
    </row>
    <row r="552">
      <c r="A552" s="55"/>
    </row>
    <row r="553">
      <c r="A553" s="55"/>
    </row>
    <row r="554">
      <c r="A554" s="55"/>
    </row>
    <row r="555">
      <c r="A555" s="55"/>
    </row>
    <row r="556">
      <c r="A556" s="55"/>
    </row>
    <row r="557">
      <c r="A557" s="55"/>
    </row>
    <row r="558">
      <c r="A558" s="55"/>
    </row>
    <row r="559">
      <c r="A559" s="55"/>
    </row>
    <row r="560">
      <c r="A560" s="55"/>
    </row>
    <row r="561">
      <c r="A561" s="55"/>
    </row>
    <row r="562">
      <c r="A562" s="55"/>
    </row>
    <row r="563">
      <c r="A563" s="55"/>
    </row>
    <row r="564">
      <c r="A564" s="55"/>
    </row>
    <row r="565">
      <c r="A565" s="55"/>
    </row>
    <row r="566">
      <c r="A566" s="55"/>
    </row>
    <row r="567">
      <c r="A567" s="55"/>
    </row>
    <row r="568">
      <c r="A568" s="55"/>
    </row>
    <row r="569">
      <c r="A569" s="55"/>
    </row>
    <row r="570">
      <c r="A570" s="55"/>
    </row>
    <row r="571">
      <c r="A571" s="55"/>
    </row>
    <row r="572">
      <c r="A572" s="55"/>
    </row>
    <row r="573">
      <c r="A573" s="55"/>
    </row>
    <row r="574">
      <c r="A574" s="55"/>
    </row>
    <row r="575">
      <c r="A575" s="55"/>
    </row>
    <row r="576">
      <c r="A576" s="55"/>
    </row>
    <row r="577">
      <c r="A577" s="55"/>
    </row>
    <row r="578">
      <c r="A578" s="55"/>
    </row>
    <row r="579">
      <c r="A579" s="55"/>
    </row>
    <row r="580">
      <c r="A580" s="55"/>
    </row>
    <row r="581">
      <c r="A581" s="55"/>
    </row>
    <row r="582">
      <c r="A582" s="55"/>
    </row>
    <row r="583">
      <c r="A583" s="55"/>
    </row>
    <row r="584">
      <c r="A584" s="55"/>
    </row>
    <row r="585">
      <c r="A585" s="55"/>
    </row>
    <row r="586">
      <c r="A586" s="55"/>
    </row>
    <row r="587">
      <c r="A587" s="55"/>
    </row>
    <row r="588">
      <c r="A588" s="55"/>
    </row>
    <row r="589">
      <c r="A589" s="55"/>
    </row>
    <row r="590">
      <c r="A590" s="55"/>
    </row>
    <row r="591">
      <c r="A591" s="55"/>
    </row>
    <row r="592">
      <c r="A592" s="55"/>
    </row>
    <row r="593">
      <c r="A593" s="55"/>
    </row>
    <row r="594">
      <c r="A594" s="55"/>
    </row>
    <row r="595">
      <c r="A595" s="55"/>
    </row>
    <row r="596">
      <c r="A596" s="55"/>
    </row>
    <row r="597">
      <c r="A597" s="55"/>
    </row>
    <row r="598">
      <c r="A598" s="55"/>
    </row>
    <row r="599">
      <c r="A599" s="55"/>
    </row>
    <row r="600">
      <c r="A600" s="55"/>
    </row>
    <row r="601">
      <c r="A601" s="55"/>
    </row>
    <row r="602">
      <c r="A602" s="55"/>
    </row>
    <row r="603">
      <c r="A603" s="55"/>
    </row>
    <row r="604">
      <c r="A604" s="55"/>
    </row>
    <row r="605">
      <c r="A605" s="55"/>
    </row>
    <row r="606">
      <c r="A606" s="55"/>
    </row>
    <row r="607">
      <c r="A607" s="55"/>
    </row>
    <row r="608">
      <c r="A608" s="55"/>
    </row>
    <row r="609">
      <c r="A609" s="55"/>
    </row>
    <row r="610">
      <c r="A610" s="55"/>
    </row>
    <row r="611">
      <c r="A611" s="55"/>
    </row>
    <row r="612">
      <c r="A612" s="55"/>
    </row>
    <row r="613">
      <c r="A613" s="55"/>
    </row>
    <row r="614">
      <c r="A614" s="55"/>
    </row>
    <row r="615">
      <c r="A615" s="55"/>
    </row>
    <row r="616">
      <c r="A616" s="55"/>
    </row>
    <row r="617">
      <c r="A617" s="55"/>
    </row>
    <row r="618">
      <c r="A618" s="55"/>
    </row>
    <row r="619">
      <c r="A619" s="55"/>
    </row>
    <row r="620">
      <c r="A620" s="55"/>
    </row>
    <row r="621">
      <c r="A621" s="55"/>
    </row>
    <row r="622">
      <c r="A622" s="55"/>
    </row>
    <row r="623">
      <c r="A623" s="55"/>
    </row>
    <row r="624">
      <c r="A624" s="55"/>
    </row>
    <row r="625">
      <c r="A625" s="55"/>
    </row>
    <row r="626">
      <c r="A626" s="55"/>
    </row>
    <row r="627">
      <c r="A627" s="55"/>
    </row>
    <row r="628">
      <c r="A628" s="55"/>
    </row>
    <row r="629">
      <c r="A629" s="55"/>
    </row>
    <row r="630">
      <c r="A630" s="55"/>
    </row>
    <row r="631">
      <c r="A631" s="55"/>
    </row>
    <row r="632">
      <c r="A632" s="55"/>
    </row>
    <row r="633">
      <c r="A633" s="55"/>
    </row>
    <row r="634">
      <c r="A634" s="55"/>
    </row>
    <row r="635">
      <c r="A635" s="55"/>
    </row>
    <row r="636">
      <c r="A636" s="55"/>
    </row>
    <row r="637">
      <c r="A637" s="55"/>
    </row>
    <row r="638">
      <c r="A638" s="55"/>
    </row>
    <row r="639">
      <c r="A639" s="55"/>
    </row>
    <row r="640">
      <c r="A640" s="55"/>
    </row>
    <row r="641">
      <c r="A641" s="55"/>
    </row>
    <row r="642">
      <c r="A642" s="55"/>
    </row>
    <row r="643">
      <c r="A643" s="55"/>
    </row>
    <row r="644">
      <c r="A644" s="55"/>
    </row>
    <row r="645">
      <c r="A645" s="55"/>
    </row>
    <row r="646">
      <c r="A646" s="55"/>
    </row>
    <row r="647">
      <c r="A647" s="55"/>
    </row>
    <row r="648">
      <c r="A648" s="55"/>
    </row>
    <row r="649">
      <c r="A649" s="55"/>
    </row>
    <row r="650">
      <c r="A650" s="55"/>
    </row>
    <row r="651">
      <c r="A651" s="55"/>
    </row>
    <row r="652">
      <c r="A652" s="55"/>
    </row>
    <row r="653">
      <c r="A653" s="55"/>
    </row>
    <row r="654">
      <c r="A654" s="55"/>
    </row>
    <row r="655">
      <c r="A655" s="55"/>
    </row>
    <row r="656">
      <c r="A656" s="55"/>
    </row>
    <row r="657">
      <c r="A657" s="55"/>
    </row>
    <row r="658">
      <c r="A658" s="55"/>
    </row>
    <row r="659">
      <c r="A659" s="55"/>
    </row>
    <row r="660">
      <c r="A660" s="55"/>
    </row>
    <row r="661">
      <c r="A661" s="55"/>
    </row>
    <row r="662">
      <c r="A662" s="55"/>
    </row>
    <row r="663">
      <c r="A663" s="55"/>
    </row>
    <row r="664">
      <c r="A664" s="55"/>
    </row>
    <row r="665">
      <c r="A665" s="55"/>
    </row>
    <row r="666">
      <c r="A666" s="55"/>
    </row>
    <row r="667">
      <c r="A667" s="55"/>
    </row>
    <row r="668">
      <c r="A668" s="55"/>
    </row>
    <row r="669">
      <c r="A669" s="55"/>
    </row>
    <row r="670">
      <c r="A670" s="55"/>
    </row>
    <row r="671">
      <c r="A671" s="55"/>
    </row>
    <row r="672">
      <c r="A672" s="55"/>
    </row>
    <row r="673">
      <c r="A673" s="55"/>
    </row>
    <row r="674">
      <c r="A674" s="55"/>
    </row>
    <row r="675">
      <c r="A675" s="55"/>
    </row>
    <row r="676">
      <c r="A676" s="55"/>
    </row>
    <row r="677">
      <c r="A677" s="55"/>
    </row>
    <row r="678">
      <c r="A678" s="55"/>
    </row>
    <row r="679">
      <c r="A679" s="55"/>
    </row>
    <row r="680">
      <c r="A680" s="55"/>
    </row>
    <row r="681">
      <c r="A681" s="55"/>
    </row>
    <row r="682">
      <c r="A682" s="55"/>
    </row>
    <row r="683">
      <c r="A683" s="55"/>
    </row>
    <row r="684">
      <c r="A684" s="55"/>
    </row>
    <row r="685">
      <c r="A685" s="55"/>
    </row>
    <row r="686">
      <c r="A686" s="55"/>
    </row>
    <row r="687">
      <c r="A687" s="55"/>
    </row>
    <row r="688">
      <c r="A688" s="55"/>
    </row>
    <row r="689">
      <c r="A689" s="55"/>
    </row>
    <row r="690">
      <c r="A690" s="55"/>
    </row>
    <row r="691">
      <c r="A691" s="55"/>
    </row>
    <row r="692">
      <c r="A692" s="55"/>
    </row>
    <row r="693">
      <c r="A693" s="55"/>
    </row>
    <row r="694">
      <c r="A694" s="55"/>
    </row>
    <row r="695">
      <c r="A695" s="55"/>
    </row>
    <row r="696">
      <c r="A696" s="55"/>
    </row>
    <row r="697">
      <c r="A697" s="55"/>
    </row>
    <row r="698">
      <c r="A698" s="55"/>
    </row>
    <row r="699">
      <c r="A699" s="55"/>
    </row>
    <row r="700">
      <c r="A700" s="55"/>
    </row>
    <row r="701">
      <c r="A701" s="55"/>
    </row>
    <row r="702">
      <c r="A702" s="55"/>
    </row>
    <row r="703">
      <c r="A703" s="55"/>
    </row>
    <row r="704">
      <c r="A704" s="55"/>
    </row>
    <row r="705">
      <c r="A705" s="55"/>
    </row>
    <row r="706">
      <c r="A706" s="55"/>
    </row>
    <row r="707">
      <c r="A707" s="55"/>
    </row>
    <row r="708">
      <c r="A708" s="55"/>
    </row>
    <row r="709">
      <c r="A709" s="55"/>
    </row>
    <row r="710">
      <c r="A710" s="55"/>
    </row>
    <row r="711">
      <c r="A711" s="55"/>
    </row>
    <row r="712">
      <c r="A712" s="55"/>
    </row>
    <row r="713">
      <c r="A713" s="55"/>
    </row>
    <row r="714">
      <c r="A714" s="55"/>
    </row>
    <row r="715">
      <c r="A715" s="55"/>
    </row>
    <row r="716">
      <c r="A716" s="55"/>
    </row>
    <row r="717">
      <c r="A717" s="55"/>
    </row>
    <row r="718">
      <c r="A718" s="55"/>
    </row>
    <row r="719">
      <c r="A719" s="55"/>
    </row>
    <row r="720">
      <c r="A720" s="55"/>
    </row>
    <row r="721">
      <c r="A721" s="55"/>
    </row>
    <row r="722">
      <c r="A722" s="55"/>
    </row>
    <row r="723">
      <c r="A723" s="55"/>
    </row>
    <row r="724">
      <c r="A724" s="55"/>
    </row>
    <row r="725">
      <c r="A725" s="55"/>
    </row>
    <row r="726">
      <c r="A726" s="55"/>
    </row>
    <row r="727">
      <c r="A727" s="55"/>
    </row>
    <row r="728">
      <c r="A728" s="55"/>
    </row>
    <row r="729">
      <c r="A729" s="55"/>
    </row>
    <row r="730">
      <c r="A730" s="55"/>
    </row>
    <row r="731">
      <c r="A731" s="55"/>
    </row>
    <row r="732">
      <c r="A732" s="55"/>
    </row>
    <row r="733">
      <c r="A733" s="55"/>
    </row>
    <row r="734">
      <c r="A734" s="55"/>
    </row>
    <row r="735">
      <c r="A735" s="55"/>
    </row>
    <row r="736">
      <c r="A736" s="55"/>
    </row>
    <row r="737">
      <c r="A737" s="55"/>
    </row>
    <row r="738">
      <c r="A738" s="55"/>
    </row>
    <row r="739">
      <c r="A739" s="55"/>
    </row>
    <row r="740">
      <c r="A740" s="55"/>
    </row>
    <row r="741">
      <c r="A741" s="55"/>
    </row>
    <row r="742">
      <c r="A742" s="55"/>
    </row>
    <row r="743">
      <c r="A743" s="55"/>
    </row>
    <row r="744">
      <c r="A744" s="55"/>
    </row>
    <row r="745">
      <c r="A745" s="55"/>
    </row>
    <row r="746">
      <c r="A746" s="55"/>
    </row>
    <row r="747">
      <c r="A747" s="55"/>
    </row>
    <row r="748">
      <c r="A748" s="55"/>
    </row>
    <row r="749">
      <c r="A749" s="55"/>
    </row>
    <row r="750">
      <c r="A750" s="55"/>
    </row>
    <row r="751">
      <c r="A751" s="55"/>
    </row>
    <row r="752">
      <c r="A752" s="55"/>
    </row>
    <row r="753">
      <c r="A753" s="55"/>
    </row>
    <row r="754">
      <c r="A754" s="55"/>
    </row>
    <row r="755">
      <c r="A755" s="55"/>
    </row>
    <row r="756">
      <c r="A756" s="55"/>
    </row>
    <row r="757">
      <c r="A757" s="55"/>
    </row>
    <row r="758">
      <c r="A758" s="55"/>
    </row>
    <row r="759">
      <c r="A759" s="55"/>
    </row>
    <row r="760">
      <c r="A760" s="55"/>
    </row>
    <row r="761">
      <c r="A761" s="55"/>
    </row>
    <row r="762">
      <c r="A762" s="55"/>
    </row>
    <row r="763">
      <c r="A763" s="55"/>
    </row>
    <row r="764">
      <c r="A764" s="55"/>
    </row>
    <row r="765">
      <c r="A765" s="55"/>
    </row>
    <row r="766">
      <c r="A766" s="55"/>
    </row>
    <row r="767">
      <c r="A767" s="55"/>
    </row>
    <row r="768">
      <c r="A768" s="55"/>
    </row>
    <row r="769">
      <c r="A769" s="55"/>
    </row>
    <row r="770">
      <c r="A770" s="55"/>
    </row>
    <row r="771">
      <c r="A771" s="55"/>
    </row>
    <row r="772">
      <c r="A772" s="55"/>
    </row>
    <row r="773">
      <c r="A773" s="55"/>
    </row>
    <row r="774">
      <c r="A774" s="55"/>
    </row>
    <row r="775">
      <c r="A775" s="55"/>
    </row>
    <row r="776">
      <c r="A776" s="55"/>
    </row>
    <row r="777">
      <c r="A777" s="55"/>
    </row>
    <row r="778">
      <c r="A778" s="55"/>
    </row>
    <row r="779">
      <c r="A779" s="55"/>
    </row>
    <row r="780">
      <c r="A780" s="55"/>
    </row>
    <row r="781">
      <c r="A781" s="55"/>
    </row>
    <row r="782">
      <c r="A782" s="55"/>
    </row>
    <row r="783">
      <c r="A783" s="55"/>
    </row>
    <row r="784">
      <c r="A784" s="55"/>
    </row>
    <row r="785">
      <c r="A785" s="55"/>
    </row>
    <row r="786">
      <c r="A786" s="55"/>
    </row>
    <row r="787">
      <c r="A787" s="55"/>
    </row>
    <row r="788">
      <c r="A788" s="55"/>
    </row>
    <row r="789">
      <c r="A789" s="55"/>
    </row>
    <row r="790">
      <c r="A790" s="55"/>
    </row>
    <row r="791">
      <c r="A791" s="55"/>
    </row>
    <row r="792">
      <c r="A792" s="55"/>
    </row>
    <row r="793">
      <c r="A793" s="55"/>
    </row>
    <row r="794">
      <c r="A794" s="55"/>
    </row>
    <row r="795">
      <c r="A795" s="55"/>
    </row>
    <row r="796">
      <c r="A796" s="55"/>
    </row>
    <row r="797">
      <c r="A797" s="55"/>
    </row>
    <row r="798">
      <c r="A798" s="55"/>
    </row>
    <row r="799">
      <c r="A799" s="55"/>
    </row>
    <row r="800">
      <c r="A800" s="55"/>
    </row>
    <row r="801">
      <c r="A801" s="55"/>
    </row>
    <row r="802">
      <c r="A802" s="55"/>
    </row>
    <row r="803">
      <c r="A803" s="55"/>
    </row>
    <row r="804">
      <c r="A804" s="55"/>
    </row>
    <row r="805">
      <c r="A805" s="55"/>
    </row>
    <row r="806">
      <c r="A806" s="55"/>
    </row>
    <row r="807">
      <c r="A807" s="55"/>
    </row>
    <row r="808">
      <c r="A808" s="55"/>
    </row>
    <row r="809">
      <c r="A809" s="55"/>
    </row>
    <row r="810">
      <c r="A810" s="55"/>
    </row>
    <row r="811">
      <c r="A811" s="55"/>
    </row>
    <row r="812">
      <c r="A812" s="55"/>
    </row>
    <row r="813">
      <c r="A813" s="55"/>
    </row>
    <row r="814">
      <c r="A814" s="55"/>
    </row>
    <row r="815">
      <c r="A815" s="55"/>
    </row>
    <row r="816">
      <c r="A816" s="55"/>
    </row>
    <row r="817">
      <c r="A817" s="55"/>
    </row>
    <row r="818">
      <c r="A818" s="55"/>
    </row>
    <row r="819">
      <c r="A819" s="55"/>
    </row>
    <row r="820">
      <c r="A820" s="55"/>
    </row>
    <row r="821">
      <c r="A821" s="55"/>
    </row>
    <row r="822">
      <c r="A822" s="55"/>
    </row>
    <row r="823">
      <c r="A823" s="55"/>
    </row>
    <row r="824">
      <c r="A824" s="55"/>
    </row>
    <row r="825">
      <c r="A825" s="55"/>
    </row>
    <row r="826">
      <c r="A826" s="55"/>
    </row>
    <row r="827">
      <c r="A827" s="55"/>
    </row>
    <row r="828">
      <c r="A828" s="55"/>
    </row>
    <row r="829">
      <c r="A829" s="55"/>
    </row>
    <row r="830">
      <c r="A830" s="55"/>
    </row>
    <row r="831">
      <c r="A831" s="55"/>
    </row>
    <row r="832">
      <c r="A832" s="55"/>
    </row>
    <row r="833">
      <c r="A833" s="55"/>
    </row>
    <row r="834">
      <c r="A834" s="55"/>
    </row>
    <row r="835">
      <c r="A835" s="55"/>
    </row>
    <row r="836">
      <c r="A836" s="55"/>
    </row>
    <row r="837">
      <c r="A837" s="55"/>
    </row>
    <row r="838">
      <c r="A838" s="55"/>
    </row>
    <row r="839">
      <c r="A839" s="55"/>
    </row>
    <row r="840">
      <c r="A840" s="55"/>
    </row>
    <row r="841">
      <c r="A841" s="55"/>
    </row>
    <row r="842">
      <c r="A842" s="55"/>
    </row>
    <row r="843">
      <c r="A843" s="55"/>
    </row>
    <row r="844">
      <c r="A844" s="55"/>
    </row>
    <row r="845">
      <c r="A845" s="55"/>
    </row>
    <row r="846">
      <c r="A846" s="55"/>
    </row>
    <row r="847">
      <c r="A847" s="55"/>
    </row>
    <row r="848">
      <c r="A848" s="55"/>
    </row>
    <row r="849">
      <c r="A849" s="55"/>
    </row>
    <row r="850">
      <c r="A850" s="55"/>
    </row>
    <row r="851">
      <c r="A851" s="55"/>
    </row>
    <row r="852">
      <c r="A852" s="55"/>
    </row>
    <row r="853">
      <c r="A853" s="55"/>
    </row>
    <row r="854">
      <c r="A854" s="55"/>
    </row>
    <row r="855">
      <c r="A855" s="55"/>
    </row>
    <row r="856">
      <c r="A856" s="55"/>
    </row>
    <row r="857">
      <c r="A857" s="55"/>
    </row>
    <row r="858">
      <c r="A858" s="55"/>
    </row>
    <row r="859">
      <c r="A859" s="55"/>
    </row>
    <row r="860">
      <c r="A860" s="55"/>
    </row>
    <row r="861">
      <c r="A861" s="55"/>
    </row>
    <row r="862">
      <c r="A862" s="55"/>
    </row>
    <row r="863">
      <c r="A863" s="55"/>
    </row>
    <row r="864">
      <c r="A864" s="55"/>
    </row>
    <row r="865">
      <c r="A865" s="55"/>
    </row>
    <row r="866">
      <c r="A866" s="55"/>
    </row>
    <row r="867">
      <c r="A867" s="55"/>
    </row>
    <row r="868">
      <c r="A868" s="55"/>
    </row>
    <row r="869">
      <c r="A869" s="55"/>
    </row>
    <row r="870">
      <c r="A870" s="55"/>
    </row>
    <row r="871">
      <c r="A871" s="55"/>
    </row>
    <row r="872">
      <c r="A872" s="55"/>
    </row>
    <row r="873">
      <c r="A873" s="55"/>
    </row>
    <row r="874">
      <c r="A874" s="55"/>
    </row>
    <row r="875">
      <c r="A875" s="55"/>
    </row>
    <row r="876">
      <c r="A876" s="55"/>
    </row>
    <row r="877">
      <c r="A877" s="55"/>
    </row>
    <row r="878">
      <c r="A878" s="55"/>
    </row>
    <row r="879">
      <c r="A879" s="55"/>
    </row>
    <row r="880">
      <c r="A880" s="55"/>
    </row>
    <row r="881">
      <c r="A881" s="55"/>
    </row>
    <row r="882">
      <c r="A882" s="55"/>
    </row>
    <row r="883">
      <c r="A883" s="55"/>
    </row>
    <row r="884">
      <c r="A884" s="55"/>
    </row>
    <row r="885">
      <c r="A885" s="55"/>
    </row>
    <row r="886">
      <c r="A886" s="55"/>
    </row>
    <row r="887">
      <c r="A887" s="55"/>
    </row>
    <row r="888">
      <c r="A888" s="55"/>
    </row>
    <row r="889">
      <c r="A889" s="55"/>
    </row>
    <row r="890">
      <c r="A890" s="55"/>
    </row>
    <row r="891">
      <c r="A891" s="55"/>
    </row>
    <row r="892">
      <c r="A892" s="55"/>
    </row>
    <row r="893">
      <c r="A893" s="55"/>
    </row>
    <row r="894">
      <c r="A894" s="55"/>
    </row>
    <row r="895">
      <c r="A895" s="55"/>
    </row>
    <row r="896">
      <c r="A896" s="55"/>
    </row>
    <row r="897">
      <c r="A897" s="55"/>
    </row>
    <row r="898">
      <c r="A898" s="55"/>
    </row>
    <row r="899">
      <c r="A899" s="55"/>
    </row>
    <row r="900">
      <c r="A900" s="55"/>
    </row>
    <row r="901">
      <c r="A901" s="55"/>
    </row>
    <row r="902">
      <c r="A902" s="55"/>
    </row>
    <row r="903">
      <c r="A903" s="55"/>
    </row>
    <row r="904">
      <c r="A904" s="55"/>
    </row>
    <row r="905">
      <c r="A905" s="55"/>
    </row>
    <row r="906">
      <c r="A906" s="55"/>
    </row>
    <row r="907">
      <c r="A907" s="55"/>
    </row>
    <row r="908">
      <c r="A908" s="55"/>
    </row>
    <row r="909">
      <c r="A909" s="55"/>
    </row>
    <row r="910">
      <c r="A910" s="55"/>
    </row>
    <row r="911">
      <c r="A911" s="55"/>
    </row>
    <row r="912">
      <c r="A912" s="55"/>
    </row>
    <row r="913">
      <c r="A913" s="55"/>
    </row>
    <row r="914">
      <c r="A914" s="55"/>
    </row>
    <row r="915">
      <c r="A915" s="55"/>
    </row>
    <row r="916">
      <c r="A916" s="55"/>
    </row>
    <row r="917">
      <c r="A917" s="55"/>
    </row>
    <row r="918">
      <c r="A918" s="55"/>
    </row>
    <row r="919">
      <c r="A919" s="55"/>
    </row>
    <row r="920">
      <c r="A920" s="55"/>
    </row>
    <row r="921">
      <c r="A921" s="55"/>
    </row>
    <row r="922">
      <c r="A922" s="55"/>
    </row>
    <row r="923">
      <c r="A923" s="55"/>
    </row>
    <row r="924">
      <c r="A924" s="55"/>
    </row>
    <row r="925">
      <c r="A925" s="55"/>
    </row>
    <row r="926">
      <c r="A926" s="55"/>
    </row>
    <row r="927">
      <c r="A927" s="55"/>
    </row>
    <row r="928">
      <c r="A928" s="55"/>
    </row>
    <row r="929">
      <c r="A929" s="55"/>
    </row>
    <row r="930">
      <c r="A930" s="55"/>
    </row>
    <row r="931">
      <c r="A931" s="55"/>
    </row>
    <row r="932">
      <c r="A932" s="55"/>
    </row>
    <row r="933">
      <c r="A933" s="55"/>
    </row>
    <row r="934">
      <c r="A934" s="55"/>
    </row>
    <row r="935">
      <c r="A935" s="55"/>
    </row>
    <row r="936">
      <c r="A936" s="55"/>
    </row>
    <row r="937">
      <c r="A937" s="55"/>
    </row>
    <row r="938">
      <c r="A938" s="55"/>
    </row>
    <row r="939">
      <c r="A939" s="55"/>
    </row>
    <row r="940">
      <c r="A940" s="55"/>
    </row>
    <row r="941">
      <c r="A941" s="55"/>
    </row>
    <row r="942">
      <c r="A942" s="55"/>
    </row>
    <row r="943">
      <c r="A943" s="55"/>
    </row>
    <row r="944">
      <c r="A944" s="55"/>
    </row>
    <row r="945">
      <c r="A945" s="55"/>
    </row>
    <row r="946">
      <c r="A946" s="55"/>
    </row>
    <row r="947">
      <c r="A947" s="55"/>
    </row>
    <row r="948">
      <c r="A948" s="55"/>
    </row>
    <row r="949">
      <c r="A949" s="55"/>
    </row>
    <row r="950">
      <c r="A950" s="55"/>
    </row>
    <row r="951">
      <c r="A951" s="55"/>
    </row>
    <row r="952">
      <c r="A952" s="55"/>
    </row>
    <row r="953">
      <c r="A953" s="55"/>
    </row>
    <row r="954">
      <c r="A954" s="55"/>
    </row>
    <row r="955">
      <c r="A955" s="55"/>
    </row>
    <row r="956">
      <c r="A956" s="55"/>
    </row>
    <row r="957">
      <c r="A957" s="55"/>
    </row>
    <row r="958">
      <c r="A958" s="55"/>
    </row>
    <row r="959">
      <c r="A959" s="55"/>
    </row>
    <row r="960">
      <c r="A960" s="55"/>
    </row>
    <row r="961">
      <c r="A961" s="55"/>
    </row>
    <row r="962">
      <c r="A962" s="55"/>
    </row>
    <row r="963">
      <c r="A963" s="55"/>
    </row>
    <row r="964">
      <c r="A964" s="55"/>
    </row>
    <row r="965">
      <c r="A965" s="55"/>
    </row>
    <row r="966">
      <c r="A966" s="55"/>
    </row>
    <row r="967">
      <c r="A967" s="55"/>
    </row>
    <row r="968">
      <c r="A968" s="55"/>
    </row>
    <row r="969">
      <c r="A969" s="55"/>
    </row>
    <row r="970">
      <c r="A970" s="55"/>
    </row>
    <row r="971">
      <c r="A971" s="55"/>
    </row>
    <row r="972">
      <c r="A972" s="55"/>
    </row>
    <row r="973">
      <c r="A973" s="55"/>
    </row>
    <row r="974">
      <c r="A974" s="55"/>
    </row>
    <row r="975">
      <c r="A975" s="55"/>
    </row>
    <row r="976">
      <c r="A976" s="55"/>
    </row>
    <row r="977">
      <c r="A977" s="55"/>
    </row>
    <row r="978">
      <c r="A978" s="55"/>
    </row>
    <row r="979">
      <c r="A979" s="55"/>
    </row>
    <row r="980">
      <c r="A980" s="55"/>
    </row>
    <row r="981">
      <c r="A981" s="55"/>
    </row>
    <row r="982">
      <c r="A982" s="55"/>
    </row>
    <row r="983">
      <c r="A983" s="55"/>
    </row>
    <row r="984">
      <c r="A984" s="55"/>
    </row>
    <row r="985">
      <c r="A985" s="55"/>
    </row>
    <row r="986">
      <c r="A986" s="55"/>
    </row>
    <row r="987">
      <c r="A987" s="55"/>
    </row>
    <row r="988">
      <c r="A988" s="55"/>
    </row>
    <row r="989">
      <c r="A989" s="55"/>
    </row>
    <row r="990">
      <c r="A990" s="55"/>
    </row>
    <row r="991">
      <c r="A991" s="55"/>
    </row>
    <row r="992">
      <c r="A992" s="55"/>
    </row>
    <row r="993">
      <c r="A993" s="55"/>
    </row>
    <row r="994">
      <c r="A994" s="55"/>
    </row>
    <row r="995">
      <c r="A995" s="55"/>
    </row>
    <row r="996">
      <c r="A996" s="55"/>
    </row>
    <row r="997">
      <c r="A997" s="55"/>
    </row>
    <row r="998">
      <c r="A998" s="55"/>
    </row>
    <row r="999">
      <c r="A999" s="55"/>
    </row>
    <row r="1000">
      <c r="A1000" s="55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2024-08-29T11:47:32Z</dcterms:created>
  <dc:creator>La Musardière</dc:creator>
</cp:coreProperties>
</file>