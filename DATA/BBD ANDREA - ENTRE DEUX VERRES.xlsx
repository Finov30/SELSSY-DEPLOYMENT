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CULS_INTERNES" sheetId="1" r:id="rId4"/>
    <sheet state="visible" name="ARCHIVE COUT ACHAT 2025" sheetId="2" r:id="rId5"/>
    <sheet state="visible" name="REFERENTIEL SELLSY" sheetId="3" r:id="rId6"/>
  </sheets>
  <definedNames/>
  <calcPr/>
  <extLst>
    <ext uri="GoogleSheetsCustomDataVersion2">
      <go:sheetsCustomData xmlns:go="http://customooxmlschemas.google.com/" r:id="rId7" roundtripDataChecksum="5B0mCuMtnrw+bhevjFAPW6RYJWuV/Mmg7DybeqSduc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2">
      <text>
        <t xml:space="preserve">======
ID#AAABpsDz3bk
Raphaël Hassenforder    (2025-08-22 09:54:37)
pour les chevalets seuls certains formats et modèles sont éligibles. 
0 - Pas de chevalet possible
1 - Chevalet possible mais pas systématique</t>
      </text>
    </comment>
    <comment authorId="0" ref="R2">
      <text>
        <t xml:space="preserve">======
ID#AAABpsDz3bQ
Raphaël Hassenforder    (2025-08-22 08:41:56)
0 - PAS DE VITRE (exemple caisse américaine)
1 - VERRE
2 - PLEXI
------
ID#AAABprn-AeY
Etienne Faucher    (2025-08-22 12:56:37)
RECTIFICATION :
Ne pas proposer le choix de la vitre, c'est toujours du verre...Donc colonne à ignorer</t>
      </text>
    </comment>
    <comment authorId="0" ref="AG2">
      <text>
        <t xml:space="preserve">======
ID#AAABpazMiio
Raphaël Hassenforder    (2025-08-18 19:02:22)
ne pas se baser sur cette colonne qui n'est pas sure.</t>
      </text>
    </comment>
    <comment authorId="0" ref="H3">
      <text>
        <t xml:space="preserve">======
ID#AAABpazMiig
Raphaël Hassenforder    (2025-08-18 18:35:09)
ATTENTION !! 
Tarif 2024 donc ajouter la formule de l'augmentation si import à faire =1 
Tarif 2025 si import à faire = 0
------
ID#AAABpazMiik
Raphaël Hassenforder    (2025-08-18 18:38:09)
1,9% pour augmentation entre 2024 et 2025.</t>
      </text>
    </comment>
    <comment authorId="0" ref="S2">
      <text>
        <t xml:space="preserve">======
ID#AAABpazMih4
Raphaël Hassenforder    (2025-08-18 18:20:43)
1 - Rehausse 
0 - Pas de rehausse
------
ID#AAABpsDz3bg
Raphaël Hassenforder    (2025-08-22 09:45:01)
Remarque tous les modèles de cadres n'ont pas de réhausse possible. Les seuls modèles de cadres qui ont une réhausse possible sont EVA et ALBA.
------
ID#AAABprn-Aec
Etienne Faucher    (2025-08-22 12:57:16)
Sur le modèle ANDREA, pas de réhausse possible, ne pas proposer</t>
      </text>
    </comment>
    <comment authorId="0" ref="X2">
      <text>
        <t xml:space="preserve">======
ID#AAABpZAG6vY
Raphaël Hassenforder    (2025-08-17 21:34:02)
1 cadres ajoutés - import a faire 
0 cadres déjà sur Sellsy - pas d'import nécessaire</t>
      </text>
    </comment>
  </commentList>
  <extLst>
    <ext uri="GoogleSheetsCustomDataVersion2">
      <go:sheetsCustomData xmlns:go="http://customooxmlschemas.google.com/" r:id="rId1" roundtripDataSignature="AMtx7mift6tGlMGoxdDQ1XWSem4EmQ5DQw=="/>
    </ext>
  </extLst>
</comments>
</file>

<file path=xl/sharedStrings.xml><?xml version="1.0" encoding="utf-8"?>
<sst xmlns="http://schemas.openxmlformats.org/spreadsheetml/2006/main" count="234" uniqueCount="79">
  <si>
    <t>FRS</t>
  </si>
  <si>
    <t>SELLSY</t>
  </si>
  <si>
    <t>AUTOMATISATION + SELLSY</t>
  </si>
  <si>
    <t>AUTOMATISATION</t>
  </si>
  <si>
    <t xml:space="preserve">ETAPE INTERMEDIAIRE </t>
  </si>
  <si>
    <t>CADRE DEMONTABLE</t>
  </si>
  <si>
    <t>FORMAT</t>
  </si>
  <si>
    <t>CODE</t>
  </si>
  <si>
    <t>GENCODS</t>
  </si>
  <si>
    <t>#VALUE!</t>
  </si>
  <si>
    <t>TARIF HT</t>
  </si>
  <si>
    <t>Cadres Atelier</t>
  </si>
  <si>
    <t xml:space="preserve">Référence Atelier </t>
  </si>
  <si>
    <t>TARIF HT 2025 formule</t>
  </si>
  <si>
    <t>COUT ACHAT  HT 2026</t>
  </si>
  <si>
    <t>TARIF VENTE A 2026</t>
  </si>
  <si>
    <t>CATEGORIE</t>
  </si>
  <si>
    <t>Cadre Maison Raphaël</t>
  </si>
  <si>
    <t>COLORIS</t>
  </si>
  <si>
    <t xml:space="preserve">VITRE BINAIRE </t>
  </si>
  <si>
    <t xml:space="preserve">REHAUSSE BINAIRE </t>
  </si>
  <si>
    <t>POSSIBILITE CHEVALET BINAIRE</t>
  </si>
  <si>
    <t>CHEVALET BINAIRE OUI NON</t>
  </si>
  <si>
    <t>REHAUSSE</t>
  </si>
  <si>
    <t>SAMUEL</t>
  </si>
  <si>
    <t xml:space="preserve">IMPORT A FAIRE </t>
  </si>
  <si>
    <t>VITRE</t>
  </si>
  <si>
    <t>Fournisseur</t>
  </si>
  <si>
    <t>PASSE PARTOUT</t>
  </si>
  <si>
    <t>CHEVALET</t>
  </si>
  <si>
    <t>DECRIPTION PROFIL</t>
  </si>
  <si>
    <t>DESCRIPTION MAISON RAPHAEL</t>
  </si>
  <si>
    <t>NOM COMMERCIAL</t>
  </si>
  <si>
    <t>ARCHIVE TARIF A 2024</t>
  </si>
  <si>
    <t>COUT ACHAT  HT 2025 - ARCHIVE</t>
  </si>
  <si>
    <t>COEF AUGMENTATION FOURNISSEUR 2026 (+ 1,5%)</t>
  </si>
  <si>
    <t>2024/2025 attention</t>
  </si>
  <si>
    <t>DESCRIPTION</t>
  </si>
  <si>
    <t>ENTRE-2-VERRES BLANC</t>
  </si>
  <si>
    <t>20*20</t>
  </si>
  <si>
    <t>074567</t>
  </si>
  <si>
    <t>ENTRE-2-VERRES</t>
  </si>
  <si>
    <t>CADRES CLASSIQUES</t>
  </si>
  <si>
    <t>ANDREA</t>
  </si>
  <si>
    <t>BLANC</t>
  </si>
  <si>
    <t>PAS DE REHAUSSE</t>
  </si>
  <si>
    <t>VERRE</t>
  </si>
  <si>
    <t>Pas de passepartout</t>
  </si>
  <si>
    <t>Dos classique sans chevalet</t>
  </si>
  <si>
    <t>(Largeur 24mm Profondeur 24mm)</t>
  </si>
  <si>
    <t>24*30</t>
  </si>
  <si>
    <t>074568</t>
  </si>
  <si>
    <t>30*30</t>
  </si>
  <si>
    <t>074569</t>
  </si>
  <si>
    <t>30*40</t>
  </si>
  <si>
    <t>074570</t>
  </si>
  <si>
    <t>40*40</t>
  </si>
  <si>
    <t>074571</t>
  </si>
  <si>
    <t>40*50</t>
  </si>
  <si>
    <t>074572</t>
  </si>
  <si>
    <t>ENTRE-2-VERRES NOIR</t>
  </si>
  <si>
    <t>074561</t>
  </si>
  <si>
    <t>NOIR</t>
  </si>
  <si>
    <t>074562</t>
  </si>
  <si>
    <t>074563</t>
  </si>
  <si>
    <t>074564</t>
  </si>
  <si>
    <t>074565</t>
  </si>
  <si>
    <t>074566</t>
  </si>
  <si>
    <t>Référence:</t>
  </si>
  <si>
    <t>Description:</t>
  </si>
  <si>
    <t>Nom commercial</t>
  </si>
  <si>
    <t>Coût d'achat HT 2025</t>
  </si>
  <si>
    <t>Tarif vente 2025</t>
  </si>
  <si>
    <t xml:space="preserve">SKU identifiant </t>
  </si>
  <si>
    <r>
      <rPr>
        <rFont val="Arial"/>
        <color theme="1"/>
      </rPr>
      <t xml:space="preserve">Uniquement le code pour AED avec le nom de cadre fournisseur.
Ca sert uniquement pour le bon de commande.
</t>
    </r>
    <r>
      <rPr>
        <rFont val="Arial"/>
        <b/>
        <color theme="1"/>
      </rPr>
      <t>A cacher aux le clients</t>
    </r>
  </si>
  <si>
    <r>
      <rPr>
        <rFont val="Arial"/>
        <color theme="1"/>
      </rPr>
      <t xml:space="preserve">Nom du cadre MAISON RAPHAEL avec toutes les options indiquées
</t>
    </r>
    <r>
      <rPr>
        <rFont val="Arial"/>
        <b/>
        <color theme="1"/>
      </rPr>
      <t>Visible par le client ET le fournisseur</t>
    </r>
  </si>
  <si>
    <r>
      <rPr>
        <rFont val="Arial"/>
        <color theme="1"/>
      </rPr>
      <t xml:space="preserve">Nom du cadre a spécifier lors de la recheche dans le catalogue (garder ce qu'on a déjà)
</t>
    </r>
    <r>
      <rPr>
        <rFont val="Arial"/>
        <b/>
        <color theme="1"/>
      </rPr>
      <t>Visible uniquement dans la recherche du catalogue Sellsy</t>
    </r>
  </si>
  <si>
    <r>
      <rPr>
        <rFont val="Arial"/>
        <color theme="1"/>
      </rPr>
      <t xml:space="preserve">Cout d'achat fournisseur 2025
</t>
    </r>
    <r>
      <rPr>
        <rFont val="Arial"/>
        <b/>
        <color theme="1"/>
      </rPr>
      <t>Visible uniquement par le fournisseur</t>
    </r>
  </si>
  <si>
    <r>
      <rPr>
        <rFont val="Arial"/>
        <color theme="1"/>
      </rPr>
      <t xml:space="preserve">Tarif de vente 2025 pour le client
</t>
    </r>
    <r>
      <rPr>
        <rFont val="Arial"/>
        <b/>
        <color theme="1"/>
      </rPr>
      <t>Visible uniquement par le client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</si>
</sst>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* #,##0.00_)\ &quot;€&quot;_ ;_ * \(#,##0.00\)\ &quot;€&quot;_ ;_ * &quot;-&quot;??_)\ &quot;€&quot;_ ;_ @_ "/>
    <numFmt numFmtId="165" formatCode="#,##0.00\ [$€-1]"/>
  </numFmts>
  <fonts count="14">
    <font>
      <sz val="12.0"/>
      <color theme="1"/>
      <name val="Aptos Narrow"/>
      <scheme val="minor"/>
    </font>
    <font>
      <b/>
      <i/>
      <u/>
      <sz val="12.0"/>
      <color theme="1"/>
      <name val="Arial"/>
    </font>
    <font>
      <b/>
      <sz val="12.0"/>
      <color theme="1"/>
      <name val="Arial"/>
    </font>
    <font>
      <b/>
      <sz val="12.0"/>
      <color rgb="FFFFFFFF"/>
      <name val="Arial"/>
    </font>
    <font>
      <b/>
      <i/>
      <u/>
      <sz val="12.0"/>
      <color theme="1"/>
      <name val="Arial"/>
    </font>
    <font>
      <b/>
      <i/>
      <u/>
      <sz val="12.0"/>
      <color theme="1"/>
      <name val="Arial"/>
    </font>
    <font>
      <b/>
      <i/>
      <u/>
      <sz val="12.0"/>
      <color theme="1"/>
      <name val="Arial"/>
    </font>
    <font>
      <b/>
      <i/>
      <u/>
      <sz val="12.0"/>
      <color rgb="FFFFFFFF"/>
      <name val="Arial"/>
    </font>
    <font>
      <b/>
      <i/>
      <u/>
      <sz val="12.0"/>
      <color theme="1"/>
      <name val="Arial"/>
    </font>
    <font/>
    <font>
      <sz val="12.0"/>
      <color theme="1"/>
      <name val="Arial"/>
    </font>
    <font>
      <color theme="1"/>
      <name val="Aptos Narrow"/>
    </font>
    <font>
      <b/>
      <sz val="17.0"/>
      <color theme="1"/>
      <name val="Arial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B4A7D6"/>
        <bgColor rgb="FFB4A7D6"/>
      </patternFill>
    </fill>
    <fill>
      <patternFill patternType="solid">
        <fgColor rgb="FFE69138"/>
        <bgColor rgb="FFE69138"/>
      </patternFill>
    </fill>
    <fill>
      <patternFill patternType="solid">
        <fgColor rgb="FFFF00FF"/>
        <bgColor rgb="FFFF00FF"/>
      </patternFill>
    </fill>
    <fill>
      <patternFill patternType="solid">
        <fgColor rgb="FF6D9EEB"/>
        <bgColor rgb="FF6D9EEB"/>
      </patternFill>
    </fill>
    <fill>
      <patternFill patternType="solid">
        <fgColor rgb="FF85200C"/>
        <bgColor rgb="FF85200C"/>
      </patternFill>
    </fill>
    <fill>
      <patternFill patternType="solid">
        <fgColor theme="5"/>
        <bgColor theme="5"/>
      </patternFill>
    </fill>
    <fill>
      <patternFill patternType="solid">
        <fgColor rgb="FF808080"/>
        <bgColor rgb="FF80808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47D45A"/>
        <bgColor rgb="FF47D45A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2" fontId="2" numFmtId="164" xfId="0" applyAlignment="1" applyFont="1" applyNumberFormat="1">
      <alignment horizontal="center" shrinkToFit="0" vertical="center" wrapText="1"/>
    </xf>
    <xf borderId="0" fillId="3" fontId="2" numFmtId="2" xfId="0" applyAlignment="1" applyFill="1" applyFont="1" applyNumberFormat="1">
      <alignment horizontal="center" shrinkToFit="0" vertical="center" wrapText="1"/>
    </xf>
    <xf borderId="0" fillId="4" fontId="3" numFmtId="164" xfId="0" applyAlignment="1" applyFill="1" applyFont="1" applyNumberFormat="1">
      <alignment horizontal="center" shrinkToFit="0" vertical="center" wrapText="1"/>
    </xf>
    <xf borderId="0" fillId="5" fontId="2" numFmtId="0" xfId="0" applyAlignment="1" applyFill="1" applyFont="1">
      <alignment horizontal="center" shrinkToFit="0" vertical="center" wrapText="1"/>
    </xf>
    <xf borderId="0" fillId="6" fontId="2" numFmtId="2" xfId="0" applyAlignment="1" applyFill="1" applyFont="1" applyNumberFormat="1">
      <alignment horizontal="center" shrinkToFit="0" vertical="center" wrapText="1"/>
    </xf>
    <xf borderId="0" fillId="7" fontId="3" numFmtId="164" xfId="0" applyAlignment="1" applyFill="1" applyFont="1" applyNumberForma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8" fontId="6" numFmtId="0" xfId="0" applyAlignment="1" applyBorder="1" applyFill="1" applyFont="1">
      <alignment horizontal="center" shrinkToFit="0" vertical="center" wrapText="1"/>
    </xf>
    <xf borderId="1" fillId="9" fontId="7" numFmtId="49" xfId="0" applyAlignment="1" applyBorder="1" applyFill="1" applyFont="1" applyNumberForma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3" fillId="0" fontId="9" numFmtId="0" xfId="0" applyBorder="1" applyFont="1"/>
    <xf borderId="1" fillId="0" fontId="2" numFmtId="0" xfId="0" applyAlignment="1" applyBorder="1" applyFont="1">
      <alignment horizontal="center" shrinkToFit="0" vertical="center" wrapText="1"/>
    </xf>
    <xf borderId="1" fillId="10" fontId="2" numFmtId="164" xfId="0" applyAlignment="1" applyBorder="1" applyFill="1" applyFont="1" applyNumberFormat="1">
      <alignment horizontal="center" shrinkToFit="0" vertical="center" wrapText="1"/>
    </xf>
    <xf borderId="1" fillId="0" fontId="2" numFmtId="2" xfId="0" applyAlignment="1" applyBorder="1" applyFont="1" applyNumberFormat="1">
      <alignment horizontal="center" shrinkToFit="0" vertical="center" wrapText="1"/>
    </xf>
    <xf borderId="1" fillId="11" fontId="2" numFmtId="0" xfId="0" applyAlignment="1" applyBorder="1" applyFill="1" applyFont="1">
      <alignment horizontal="center" shrinkToFit="0" vertical="center" wrapText="1"/>
    </xf>
    <xf borderId="1" fillId="8" fontId="2" numFmtId="2" xfId="0" applyAlignment="1" applyBorder="1" applyFont="1" applyNumberFormat="1">
      <alignment horizontal="center" readingOrder="0" shrinkToFit="0" vertical="center" wrapText="1"/>
    </xf>
    <xf borderId="1" fillId="11" fontId="2" numFmtId="164" xfId="0" applyAlignment="1" applyBorder="1" applyFont="1" applyNumberFormat="1">
      <alignment horizontal="center" readingOrder="0" shrinkToFit="0" vertical="center" wrapText="1"/>
    </xf>
    <xf borderId="1" fillId="12" fontId="2" numFmtId="0" xfId="0" applyAlignment="1" applyBorder="1" applyFill="1" applyFont="1">
      <alignment horizontal="center" shrinkToFit="0" vertical="center" wrapText="1"/>
    </xf>
    <xf borderId="1" fillId="6" fontId="2" numFmtId="2" xfId="0" applyAlignment="1" applyBorder="1" applyFont="1" applyNumberFormat="1">
      <alignment horizontal="center" shrinkToFit="0" vertical="center" wrapText="1"/>
    </xf>
    <xf borderId="1" fillId="0" fontId="2" numFmtId="1" xfId="0" applyAlignment="1" applyBorder="1" applyFont="1" applyNumberFormat="1">
      <alignment horizontal="center" shrinkToFit="0" vertical="center" wrapText="1"/>
    </xf>
    <xf borderId="1" fillId="10" fontId="2" numFmtId="0" xfId="0" applyAlignment="1" applyBorder="1" applyFont="1">
      <alignment horizontal="center" shrinkToFit="0" vertical="center" wrapText="1"/>
    </xf>
    <xf borderId="1" fillId="11" fontId="2" numFmtId="164" xfId="0" applyAlignment="1" applyBorder="1" applyFont="1" applyNumberFormat="1">
      <alignment horizontal="center" shrinkToFit="0" vertical="center" wrapText="1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4" fillId="0" fontId="10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shrinkToFit="0" vertical="center" wrapText="1"/>
    </xf>
    <xf borderId="6" fillId="9" fontId="3" numFmtId="49" xfId="0" applyAlignment="1" applyBorder="1" applyFont="1" applyNumberFormat="1">
      <alignment horizontal="center" shrinkToFit="0" vertical="center" wrapText="1"/>
    </xf>
    <xf borderId="7" fillId="0" fontId="9" numFmtId="0" xfId="0" applyBorder="1" applyFont="1"/>
    <xf borderId="8" fillId="0" fontId="9" numFmtId="0" xfId="0" applyBorder="1" applyFont="1"/>
    <xf borderId="2" fillId="0" fontId="10" numFmtId="0" xfId="0" applyAlignment="1" applyBorder="1" applyFont="1">
      <alignment horizontal="center" shrinkToFit="0" vertical="center" wrapText="1"/>
    </xf>
    <xf borderId="9" fillId="10" fontId="2" numFmtId="0" xfId="0" applyAlignment="1" applyBorder="1" applyFont="1">
      <alignment horizontal="center" shrinkToFit="0" vertical="center" wrapText="1"/>
    </xf>
    <xf borderId="0" fillId="0" fontId="10" numFmtId="2" xfId="0" applyAlignment="1" applyFont="1" applyNumberFormat="1">
      <alignment horizontal="center" shrinkToFit="0" vertical="center" wrapText="1"/>
    </xf>
    <xf borderId="0" fillId="0" fontId="10" numFmtId="1" xfId="0" applyAlignment="1" applyFont="1" applyNumberFormat="1">
      <alignment horizontal="center" shrinkToFit="0" vertical="center" wrapText="1"/>
    </xf>
    <xf borderId="0" fillId="13" fontId="10" numFmtId="1" xfId="0" applyAlignment="1" applyFill="1" applyFont="1" applyNumberFormat="1">
      <alignment horizontal="center" readingOrder="0" shrinkToFit="0" vertical="center" wrapText="1"/>
    </xf>
    <xf borderId="0" fillId="10" fontId="10" numFmtId="0" xfId="0" applyAlignment="1" applyFont="1">
      <alignment horizontal="center" shrinkToFit="0" vertical="center" wrapText="1"/>
    </xf>
    <xf borderId="0" fillId="13" fontId="10" numFmtId="1" xfId="0" applyAlignment="1" applyFont="1" applyNumberFormat="1">
      <alignment horizontal="center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vertical="center"/>
    </xf>
    <xf borderId="10" fillId="0" fontId="10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9" fontId="3" numFmtId="49" xfId="0" applyAlignment="1" applyBorder="1" applyFont="1" applyNumberFormat="1">
      <alignment horizontal="center" vertical="center"/>
    </xf>
    <xf borderId="13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4" fillId="0" fontId="10" numFmtId="0" xfId="0" applyAlignment="1" applyBorder="1" applyFont="1">
      <alignment horizontal="center" vertical="center"/>
    </xf>
    <xf borderId="12" fillId="10" fontId="10" numFmtId="164" xfId="0" applyAlignment="1" applyBorder="1" applyFont="1" applyNumberFormat="1">
      <alignment horizontal="center" vertical="center"/>
    </xf>
    <xf borderId="0" fillId="0" fontId="10" numFmtId="2" xfId="0" applyAlignment="1" applyFont="1" applyNumberFormat="1">
      <alignment horizontal="center" vertical="center"/>
    </xf>
    <xf borderId="0" fillId="13" fontId="10" numFmtId="2" xfId="0" applyAlignment="1" applyFont="1" applyNumberFormat="1">
      <alignment horizontal="center" vertical="center"/>
    </xf>
    <xf borderId="0" fillId="0" fontId="10" numFmtId="165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10" fontId="10" numFmtId="0" xfId="0" applyAlignment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horizontal="center" vertical="center"/>
    </xf>
    <xf borderId="0" fillId="0" fontId="11" numFmtId="0" xfId="0" applyAlignment="1" applyFont="1">
      <alignment shrinkToFit="0" wrapText="1"/>
    </xf>
    <xf borderId="1" fillId="11" fontId="12" numFmtId="0" xfId="0" applyAlignment="1" applyBorder="1" applyFont="1">
      <alignment horizontal="center" shrinkToFit="0" vertical="center" wrapText="1"/>
    </xf>
    <xf borderId="1" fillId="11" fontId="12" numFmtId="0" xfId="0" applyAlignment="1" applyBorder="1" applyFont="1">
      <alignment horizontal="center" vertical="center"/>
    </xf>
    <xf borderId="1" fillId="11" fontId="12" numFmtId="0" xfId="0" applyAlignment="1" applyBorder="1" applyFont="1">
      <alignment vertical="center"/>
    </xf>
    <xf borderId="1" fillId="0" fontId="13" numFmtId="0" xfId="0" applyAlignment="1" applyBorder="1" applyFont="1">
      <alignment shrinkToFit="0" vertical="center" wrapText="1"/>
    </xf>
    <xf borderId="0" fillId="0" fontId="13" numFmtId="0" xfId="0" applyAlignment="1" applyFont="1">
      <alignment shrinkToFit="0" wrapText="1"/>
    </xf>
    <xf borderId="0" fillId="0" fontId="13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0"/>
  <cols>
    <col customWidth="1" min="1" max="1" width="6.33"/>
    <col customWidth="1" min="2" max="2" width="27.56"/>
    <col customWidth="1" min="3" max="3" width="10.33"/>
    <col customWidth="1" min="4" max="4" width="10.89"/>
    <col customWidth="1" min="5" max="6" width="8.33"/>
    <col customWidth="1" min="7" max="7" width="11.11"/>
    <col customWidth="1" min="8" max="8" width="11.33"/>
    <col customWidth="1" min="10" max="10" width="27.0"/>
    <col customWidth="1" min="11" max="11" width="12.11"/>
    <col customWidth="1" min="12" max="12" width="14.11"/>
    <col customWidth="1" min="13" max="13" width="13.56"/>
    <col customWidth="1" min="14" max="14" width="17.56"/>
    <col customWidth="1" min="15" max="15" width="12.44"/>
    <col customWidth="1" min="16" max="16" width="10.44"/>
    <col customWidth="1" min="17" max="17" width="17.67"/>
    <col customWidth="1" min="18" max="18" width="12.78"/>
    <col customWidth="1" min="19" max="19" width="10.0"/>
    <col customWidth="1" min="20" max="20" width="12.89"/>
    <col customWidth="1" min="21" max="21" width="11.44"/>
    <col customWidth="1" min="22" max="22" width="35.0"/>
    <col customWidth="1" min="23" max="23" width="57.0"/>
    <col customWidth="1" min="24" max="24" width="9.0"/>
    <col customWidth="1" min="25" max="25" width="13.11"/>
    <col customWidth="1" min="26" max="26" width="39.33"/>
    <col customWidth="1" min="27" max="27" width="21.89"/>
    <col customWidth="1" min="28" max="28" width="23.33"/>
    <col customWidth="1" min="29" max="29" width="43.89"/>
    <col customWidth="1" min="30" max="30" width="40.22"/>
    <col customWidth="1" min="31" max="31" width="149.44"/>
    <col customWidth="1" min="32" max="32" width="139.78"/>
    <col customWidth="1" min="33" max="33" width="10.89"/>
    <col customWidth="1" min="34" max="34" width="14.11"/>
    <col customWidth="1" min="35" max="35" width="18.33"/>
    <col customWidth="1" min="36" max="41" width="12.44"/>
  </cols>
  <sheetData>
    <row r="1">
      <c r="A1" s="1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2" t="s">
        <v>0</v>
      </c>
      <c r="H1" s="3" t="s">
        <v>0</v>
      </c>
      <c r="I1" s="2" t="s">
        <v>0</v>
      </c>
      <c r="J1" s="4" t="s">
        <v>1</v>
      </c>
      <c r="K1" s="4" t="s">
        <v>1</v>
      </c>
      <c r="L1" s="4" t="s">
        <v>1</v>
      </c>
      <c r="M1" s="5" t="s">
        <v>2</v>
      </c>
      <c r="N1" s="6" t="s">
        <v>3</v>
      </c>
      <c r="O1" s="6" t="s">
        <v>3</v>
      </c>
      <c r="P1" s="6" t="s">
        <v>3</v>
      </c>
      <c r="Q1" s="6" t="s">
        <v>3</v>
      </c>
      <c r="R1" s="6" t="s">
        <v>3</v>
      </c>
      <c r="S1" s="6" t="s">
        <v>3</v>
      </c>
      <c r="T1" s="6" t="s">
        <v>3</v>
      </c>
      <c r="U1" s="6" t="s">
        <v>3</v>
      </c>
      <c r="V1" s="6" t="s">
        <v>3</v>
      </c>
      <c r="W1" s="7"/>
      <c r="X1" s="8" t="s">
        <v>4</v>
      </c>
      <c r="Y1" s="8" t="s">
        <v>4</v>
      </c>
      <c r="Z1" s="8" t="s">
        <v>4</v>
      </c>
      <c r="AA1" s="8" t="s">
        <v>4</v>
      </c>
      <c r="AB1" s="8" t="s">
        <v>4</v>
      </c>
      <c r="AC1" s="8" t="s">
        <v>4</v>
      </c>
      <c r="AD1" s="8" t="s">
        <v>4</v>
      </c>
      <c r="AE1" s="8" t="s">
        <v>4</v>
      </c>
      <c r="AF1" s="8" t="s">
        <v>4</v>
      </c>
      <c r="AG1" s="8" t="s">
        <v>4</v>
      </c>
      <c r="AH1" s="4" t="s">
        <v>1</v>
      </c>
      <c r="AI1" s="9"/>
      <c r="AJ1" s="9"/>
      <c r="AK1" s="9"/>
      <c r="AL1" s="9"/>
      <c r="AM1" s="9"/>
      <c r="AN1" s="9"/>
      <c r="AO1" s="9"/>
    </row>
    <row r="2" ht="48.0" customHeight="1">
      <c r="A2" s="10"/>
      <c r="B2" s="11" t="s">
        <v>5</v>
      </c>
      <c r="C2" s="12" t="s">
        <v>6</v>
      </c>
      <c r="D2" s="13" t="s">
        <v>7</v>
      </c>
      <c r="E2" s="14" t="s">
        <v>8</v>
      </c>
      <c r="F2" s="15"/>
      <c r="G2" s="16" t="s">
        <v>9</v>
      </c>
      <c r="H2" s="17" t="s">
        <v>10</v>
      </c>
      <c r="I2" s="18" t="s">
        <v>11</v>
      </c>
      <c r="J2" s="19" t="s">
        <v>12</v>
      </c>
      <c r="K2" s="18" t="s">
        <v>13</v>
      </c>
      <c r="L2" s="20" t="s">
        <v>14</v>
      </c>
      <c r="M2" s="21" t="s">
        <v>15</v>
      </c>
      <c r="N2" s="22" t="s">
        <v>16</v>
      </c>
      <c r="O2" s="16" t="s">
        <v>17</v>
      </c>
      <c r="P2" s="16" t="s">
        <v>18</v>
      </c>
      <c r="Q2" s="23" t="s">
        <v>6</v>
      </c>
      <c r="R2" s="24" t="s">
        <v>19</v>
      </c>
      <c r="S2" s="25" t="s">
        <v>20</v>
      </c>
      <c r="T2" s="25" t="s">
        <v>21</v>
      </c>
      <c r="U2" s="25" t="s">
        <v>22</v>
      </c>
      <c r="V2" s="16" t="s">
        <v>23</v>
      </c>
      <c r="W2" s="23" t="s">
        <v>24</v>
      </c>
      <c r="X2" s="24" t="s">
        <v>25</v>
      </c>
      <c r="Y2" s="11" t="s">
        <v>26</v>
      </c>
      <c r="Z2" s="18" t="s">
        <v>27</v>
      </c>
      <c r="AA2" s="16" t="s">
        <v>28</v>
      </c>
      <c r="AB2" s="16" t="s">
        <v>29</v>
      </c>
      <c r="AC2" s="18"/>
      <c r="AD2" s="16" t="s">
        <v>30</v>
      </c>
      <c r="AE2" s="19" t="s">
        <v>31</v>
      </c>
      <c r="AF2" s="26" t="s">
        <v>32</v>
      </c>
      <c r="AG2" s="27" t="s">
        <v>33</v>
      </c>
      <c r="AH2" s="20" t="s">
        <v>34</v>
      </c>
      <c r="AI2" s="28" t="s">
        <v>35</v>
      </c>
      <c r="AJ2" s="16"/>
      <c r="AK2" s="16"/>
      <c r="AL2" s="16"/>
      <c r="AM2" s="16"/>
      <c r="AN2" s="16"/>
      <c r="AO2" s="16"/>
    </row>
    <row r="3" ht="37.5" customHeight="1">
      <c r="A3" s="29"/>
      <c r="B3" s="30"/>
      <c r="C3" s="31"/>
      <c r="D3" s="32"/>
      <c r="E3" s="33"/>
      <c r="F3" s="34"/>
      <c r="G3" s="35" t="s">
        <v>9</v>
      </c>
      <c r="H3" s="36" t="s">
        <v>36</v>
      </c>
      <c r="I3" s="37"/>
      <c r="J3" s="29"/>
      <c r="K3" s="38">
        <v>2025.0</v>
      </c>
      <c r="L3" s="39">
        <v>2026.0</v>
      </c>
      <c r="M3" s="29">
        <v>1.825</v>
      </c>
      <c r="N3" s="29"/>
      <c r="O3" s="29"/>
      <c r="P3" s="29"/>
      <c r="Q3" s="37"/>
      <c r="R3" s="38"/>
      <c r="S3" s="40"/>
      <c r="T3" s="40"/>
      <c r="U3" s="40"/>
      <c r="V3" s="29"/>
      <c r="W3" s="37" t="s">
        <v>37</v>
      </c>
      <c r="X3" s="38"/>
      <c r="Y3" s="31"/>
      <c r="Z3" s="37"/>
      <c r="AA3" s="29"/>
      <c r="AB3" s="29"/>
      <c r="AC3" s="37"/>
      <c r="AD3" s="29"/>
      <c r="AE3" s="29"/>
      <c r="AF3" s="29" t="str">
        <f t="shared" ref="AF3:AF15" si="1">AE3</f>
        <v/>
      </c>
      <c r="AG3" s="29">
        <v>1.8</v>
      </c>
      <c r="AH3" s="41">
        <v>2025.0</v>
      </c>
      <c r="AI3" s="42">
        <v>1.015</v>
      </c>
      <c r="AJ3" s="29"/>
      <c r="AK3" s="29"/>
      <c r="AL3" s="29"/>
      <c r="AM3" s="29"/>
      <c r="AN3" s="29"/>
      <c r="AO3" s="29"/>
    </row>
    <row r="4" ht="15.75" customHeight="1">
      <c r="A4" s="43">
        <v>352.0</v>
      </c>
      <c r="B4" s="44" t="s">
        <v>38</v>
      </c>
      <c r="C4" s="45" t="s">
        <v>39</v>
      </c>
      <c r="D4" s="46" t="s">
        <v>40</v>
      </c>
      <c r="E4" s="47">
        <v>345707.0</v>
      </c>
      <c r="F4" s="48" t="s">
        <v>40</v>
      </c>
      <c r="G4" s="49">
        <v>1.0</v>
      </c>
      <c r="H4" s="50">
        <v>6.629393332297198</v>
      </c>
      <c r="I4" s="51" t="s">
        <v>41</v>
      </c>
      <c r="J4" s="43" t="str">
        <f t="shared" ref="J4:J15" si="2">CONCATENATE(D4," - ",I4)</f>
        <v>074567 - ENTRE-2-VERRES</v>
      </c>
      <c r="K4" s="51">
        <f t="shared" ref="K4:K15" si="3">L4*1.825</f>
        <v>12.522055</v>
      </c>
      <c r="L4" s="52">
        <v>6.861399999999999</v>
      </c>
      <c r="M4" s="53">
        <f t="shared" ref="M4:M15" si="4">$M$3*L4</f>
        <v>12.522055</v>
      </c>
      <c r="N4" s="43" t="s">
        <v>42</v>
      </c>
      <c r="O4" s="43" t="s">
        <v>43</v>
      </c>
      <c r="P4" s="43" t="s">
        <v>44</v>
      </c>
      <c r="Q4" s="51" t="str">
        <f t="shared" ref="Q4:Q15" si="5">C4</f>
        <v>20*20</v>
      </c>
      <c r="R4" s="54">
        <v>1.0</v>
      </c>
      <c r="S4" s="55">
        <v>0.0</v>
      </c>
      <c r="T4" s="55">
        <v>0.0</v>
      </c>
      <c r="U4" s="55">
        <v>0.0</v>
      </c>
      <c r="V4" s="43" t="s">
        <v>45</v>
      </c>
      <c r="W4" s="51" t="str">
        <f t="shared" ref="W4:W15" si="6">CONCATENATE(P4 , " - " , C4 , " - " , V4 , " - " , AD4)</f>
        <v>BLANC - 20*20 - PAS DE REHAUSSE - (Largeur 24mm Profondeur 24mm)</v>
      </c>
      <c r="X4" s="54">
        <v>0.0</v>
      </c>
      <c r="Y4" s="56" t="s">
        <v>46</v>
      </c>
      <c r="Z4" s="51" t="str">
        <f t="shared" ref="Z4:Z15" si="7">CONCATENATE(B4," ",C4," ",Y4)</f>
        <v>ENTRE-2-VERRES BLANC 20*20 VERRE</v>
      </c>
      <c r="AA4" s="43" t="s">
        <v>47</v>
      </c>
      <c r="AB4" s="43" t="s">
        <v>48</v>
      </c>
      <c r="AC4" s="51" t="str">
        <f t="shared" ref="AC4:AC15" si="8">Z4</f>
        <v>ENTRE-2-VERRES BLANC 20*20 VERRE</v>
      </c>
      <c r="AD4" s="43" t="s">
        <v>49</v>
      </c>
      <c r="AE4" s="43" t="str">
        <f t="shared" ref="AE4:AE15" si="9">CONCATENATE(O4," "," ",C4," ",P4," ",Y4," ",V4," - ",N4," - ",AA4," - ",AB4," ",AD4)</f>
        <v>ANDREA  20*20 BLANC VERRE PAS DE REHAUSSE - CADRES CLASSIQUES - Pas de passepartout - Dos classique sans chevalet (Largeur 24mm Profondeur 24mm)</v>
      </c>
      <c r="AF4" s="43" t="str">
        <f t="shared" si="1"/>
        <v>ANDREA  20*20 BLANC VERRE PAS DE REHAUSSE - CADRES CLASSIQUES - Pas de passepartout - Dos classique sans chevalet (Largeur 24mm Profondeur 24mm)</v>
      </c>
      <c r="AG4" s="57">
        <f t="shared" ref="AG4:AG15" si="10">$AG$3*H4</f>
        <v>11.932908</v>
      </c>
      <c r="AH4" s="52">
        <v>6.76</v>
      </c>
      <c r="AI4" s="43"/>
      <c r="AJ4" s="43"/>
      <c r="AK4" s="43"/>
      <c r="AL4" s="43"/>
      <c r="AM4" s="43"/>
      <c r="AN4" s="43"/>
      <c r="AO4" s="43"/>
    </row>
    <row r="5" ht="15.75" customHeight="1">
      <c r="A5" s="43">
        <v>353.0</v>
      </c>
      <c r="B5" s="44" t="s">
        <v>38</v>
      </c>
      <c r="C5" s="45" t="s">
        <v>50</v>
      </c>
      <c r="D5" s="46" t="s">
        <v>51</v>
      </c>
      <c r="E5" s="47">
        <v>345707.0</v>
      </c>
      <c r="F5" s="48" t="s">
        <v>51</v>
      </c>
      <c r="G5" s="49">
        <v>8.0</v>
      </c>
      <c r="H5" s="50">
        <v>8.791411698325652</v>
      </c>
      <c r="I5" s="51" t="s">
        <v>41</v>
      </c>
      <c r="J5" s="43" t="str">
        <f t="shared" si="2"/>
        <v>074568 - ENTRE-2-VERRES</v>
      </c>
      <c r="K5" s="51">
        <f t="shared" si="3"/>
        <v>16.59728</v>
      </c>
      <c r="L5" s="52">
        <v>9.0944</v>
      </c>
      <c r="M5" s="53">
        <f t="shared" si="4"/>
        <v>16.59728</v>
      </c>
      <c r="N5" s="43" t="s">
        <v>42</v>
      </c>
      <c r="O5" s="43" t="s">
        <v>43</v>
      </c>
      <c r="P5" s="43" t="s">
        <v>44</v>
      </c>
      <c r="Q5" s="51" t="str">
        <f t="shared" si="5"/>
        <v>24*30</v>
      </c>
      <c r="R5" s="54">
        <v>1.0</v>
      </c>
      <c r="S5" s="55">
        <v>0.0</v>
      </c>
      <c r="T5" s="55">
        <v>0.0</v>
      </c>
      <c r="U5" s="55">
        <v>0.0</v>
      </c>
      <c r="V5" s="43" t="s">
        <v>45</v>
      </c>
      <c r="W5" s="51" t="str">
        <f t="shared" si="6"/>
        <v>BLANC - 24*30 - PAS DE REHAUSSE - (Largeur 24mm Profondeur 24mm)</v>
      </c>
      <c r="X5" s="54">
        <v>0.0</v>
      </c>
      <c r="Y5" s="56" t="s">
        <v>46</v>
      </c>
      <c r="Z5" s="51" t="str">
        <f t="shared" si="7"/>
        <v>ENTRE-2-VERRES BLANC 24*30 VERRE</v>
      </c>
      <c r="AA5" s="43" t="s">
        <v>47</v>
      </c>
      <c r="AB5" s="43" t="s">
        <v>48</v>
      </c>
      <c r="AC5" s="51" t="str">
        <f t="shared" si="8"/>
        <v>ENTRE-2-VERRES BLANC 24*30 VERRE</v>
      </c>
      <c r="AD5" s="43" t="s">
        <v>49</v>
      </c>
      <c r="AE5" s="43" t="str">
        <f t="shared" si="9"/>
        <v>ANDREA  24*30 BLANC VERRE PAS DE REHAUSSE - CADRES CLASSIQUES - Pas de passepartout - Dos classique sans chevalet (Largeur 24mm Profondeur 24mm)</v>
      </c>
      <c r="AF5" s="43" t="str">
        <f t="shared" si="1"/>
        <v>ANDREA  24*30 BLANC VERRE PAS DE REHAUSSE - CADRES CLASSIQUES - Pas de passepartout - Dos classique sans chevalet (Largeur 24mm Profondeur 24mm)</v>
      </c>
      <c r="AG5" s="57">
        <f t="shared" si="10"/>
        <v>15.82454106</v>
      </c>
      <c r="AH5" s="52">
        <v>8.96</v>
      </c>
      <c r="AI5" s="43"/>
      <c r="AJ5" s="43"/>
      <c r="AK5" s="43"/>
      <c r="AL5" s="43"/>
      <c r="AM5" s="43"/>
      <c r="AN5" s="43"/>
      <c r="AO5" s="43"/>
    </row>
    <row r="6" ht="15.75" customHeight="1">
      <c r="A6" s="43">
        <v>354.0</v>
      </c>
      <c r="B6" s="44" t="s">
        <v>38</v>
      </c>
      <c r="C6" s="45" t="s">
        <v>52</v>
      </c>
      <c r="D6" s="46" t="s">
        <v>53</v>
      </c>
      <c r="E6" s="47">
        <v>345707.0</v>
      </c>
      <c r="F6" s="48" t="s">
        <v>53</v>
      </c>
      <c r="G6" s="49">
        <v>5.0</v>
      </c>
      <c r="H6" s="50">
        <v>9.793286231202096</v>
      </c>
      <c r="I6" s="51" t="s">
        <v>41</v>
      </c>
      <c r="J6" s="43" t="str">
        <f t="shared" si="2"/>
        <v>074569 - ENTRE-2-VERRES</v>
      </c>
      <c r="K6" s="51">
        <f t="shared" si="3"/>
        <v>18.4867025</v>
      </c>
      <c r="L6" s="52">
        <v>10.1297</v>
      </c>
      <c r="M6" s="53">
        <f t="shared" si="4"/>
        <v>18.4867025</v>
      </c>
      <c r="N6" s="43" t="s">
        <v>42</v>
      </c>
      <c r="O6" s="43" t="s">
        <v>43</v>
      </c>
      <c r="P6" s="43" t="s">
        <v>44</v>
      </c>
      <c r="Q6" s="51" t="str">
        <f t="shared" si="5"/>
        <v>30*30</v>
      </c>
      <c r="R6" s="54">
        <v>1.0</v>
      </c>
      <c r="S6" s="55">
        <v>0.0</v>
      </c>
      <c r="T6" s="55">
        <v>0.0</v>
      </c>
      <c r="U6" s="55">
        <v>0.0</v>
      </c>
      <c r="V6" s="43" t="s">
        <v>45</v>
      </c>
      <c r="W6" s="51" t="str">
        <f t="shared" si="6"/>
        <v>BLANC - 30*30 - PAS DE REHAUSSE - (Largeur 24mm Profondeur 24mm)</v>
      </c>
      <c r="X6" s="54">
        <v>0.0</v>
      </c>
      <c r="Y6" s="56" t="s">
        <v>46</v>
      </c>
      <c r="Z6" s="51" t="str">
        <f t="shared" si="7"/>
        <v>ENTRE-2-VERRES BLANC 30*30 VERRE</v>
      </c>
      <c r="AA6" s="43" t="s">
        <v>47</v>
      </c>
      <c r="AB6" s="43" t="s">
        <v>48</v>
      </c>
      <c r="AC6" s="51" t="str">
        <f t="shared" si="8"/>
        <v>ENTRE-2-VERRES BLANC 30*30 VERRE</v>
      </c>
      <c r="AD6" s="43" t="s">
        <v>49</v>
      </c>
      <c r="AE6" s="43" t="str">
        <f t="shared" si="9"/>
        <v>ANDREA  30*30 BLANC VERRE PAS DE REHAUSSE - CADRES CLASSIQUES - Pas de passepartout - Dos classique sans chevalet (Largeur 24mm Profondeur 24mm)</v>
      </c>
      <c r="AF6" s="43" t="str">
        <f t="shared" si="1"/>
        <v>ANDREA  30*30 BLANC VERRE PAS DE REHAUSSE - CADRES CLASSIQUES - Pas de passepartout - Dos classique sans chevalet (Largeur 24mm Profondeur 24mm)</v>
      </c>
      <c r="AG6" s="57">
        <f t="shared" si="10"/>
        <v>17.62791522</v>
      </c>
      <c r="AH6" s="52">
        <v>9.98</v>
      </c>
      <c r="AI6" s="43"/>
      <c r="AJ6" s="43"/>
      <c r="AK6" s="43"/>
      <c r="AL6" s="43"/>
      <c r="AM6" s="43"/>
      <c r="AN6" s="43"/>
      <c r="AO6" s="43"/>
    </row>
    <row r="7" ht="15.75" customHeight="1">
      <c r="A7" s="43">
        <v>355.0</v>
      </c>
      <c r="B7" s="44" t="s">
        <v>38</v>
      </c>
      <c r="C7" s="45" t="s">
        <v>54</v>
      </c>
      <c r="D7" s="46" t="s">
        <v>55</v>
      </c>
      <c r="E7" s="47">
        <v>345707.0</v>
      </c>
      <c r="F7" s="48" t="s">
        <v>55</v>
      </c>
      <c r="G7" s="49">
        <v>1.0</v>
      </c>
      <c r="H7" s="50">
        <v>11.464072523733755</v>
      </c>
      <c r="I7" s="51" t="s">
        <v>41</v>
      </c>
      <c r="J7" s="43" t="str">
        <f t="shared" si="2"/>
        <v>074570 - ENTRE-2-VERRES</v>
      </c>
      <c r="K7" s="51">
        <f t="shared" si="3"/>
        <v>21.63574</v>
      </c>
      <c r="L7" s="52">
        <v>11.855199999999998</v>
      </c>
      <c r="M7" s="53">
        <f t="shared" si="4"/>
        <v>21.63574</v>
      </c>
      <c r="N7" s="43" t="s">
        <v>42</v>
      </c>
      <c r="O7" s="43" t="s">
        <v>43</v>
      </c>
      <c r="P7" s="43" t="s">
        <v>44</v>
      </c>
      <c r="Q7" s="51" t="str">
        <f t="shared" si="5"/>
        <v>30*40</v>
      </c>
      <c r="R7" s="54">
        <v>1.0</v>
      </c>
      <c r="S7" s="55">
        <v>0.0</v>
      </c>
      <c r="T7" s="55">
        <v>0.0</v>
      </c>
      <c r="U7" s="55">
        <v>0.0</v>
      </c>
      <c r="V7" s="43" t="s">
        <v>45</v>
      </c>
      <c r="W7" s="51" t="str">
        <f t="shared" si="6"/>
        <v>BLANC - 30*40 - PAS DE REHAUSSE - (Largeur 24mm Profondeur 24mm)</v>
      </c>
      <c r="X7" s="54">
        <v>0.0</v>
      </c>
      <c r="Y7" s="56" t="s">
        <v>46</v>
      </c>
      <c r="Z7" s="51" t="str">
        <f t="shared" si="7"/>
        <v>ENTRE-2-VERRES BLANC 30*40 VERRE</v>
      </c>
      <c r="AA7" s="43" t="s">
        <v>47</v>
      </c>
      <c r="AB7" s="43" t="s">
        <v>48</v>
      </c>
      <c r="AC7" s="51" t="str">
        <f t="shared" si="8"/>
        <v>ENTRE-2-VERRES BLANC 30*40 VERRE</v>
      </c>
      <c r="AD7" s="43" t="s">
        <v>49</v>
      </c>
      <c r="AE7" s="43" t="str">
        <f t="shared" si="9"/>
        <v>ANDREA  30*40 BLANC VERRE PAS DE REHAUSSE - CADRES CLASSIQUES - Pas de passepartout - Dos classique sans chevalet (Largeur 24mm Profondeur 24mm)</v>
      </c>
      <c r="AF7" s="43" t="str">
        <f t="shared" si="1"/>
        <v>ANDREA  30*40 BLANC VERRE PAS DE REHAUSSE - CADRES CLASSIQUES - Pas de passepartout - Dos classique sans chevalet (Largeur 24mm Profondeur 24mm)</v>
      </c>
      <c r="AG7" s="57">
        <f t="shared" si="10"/>
        <v>20.63533054</v>
      </c>
      <c r="AH7" s="52">
        <v>11.68</v>
      </c>
      <c r="AI7" s="43"/>
      <c r="AJ7" s="43"/>
      <c r="AK7" s="43"/>
      <c r="AL7" s="43"/>
      <c r="AM7" s="43"/>
      <c r="AN7" s="43"/>
      <c r="AO7" s="43"/>
    </row>
    <row r="8" ht="15.75" customHeight="1">
      <c r="A8" s="43">
        <v>356.0</v>
      </c>
      <c r="B8" s="44" t="s">
        <v>38</v>
      </c>
      <c r="C8" s="45" t="s">
        <v>56</v>
      </c>
      <c r="D8" s="46" t="s">
        <v>57</v>
      </c>
      <c r="E8" s="47">
        <v>345707.0</v>
      </c>
      <c r="F8" s="48" t="s">
        <v>57</v>
      </c>
      <c r="G8" s="49">
        <v>8.0</v>
      </c>
      <c r="H8" s="50">
        <v>13.312538502423832</v>
      </c>
      <c r="I8" s="51" t="s">
        <v>41</v>
      </c>
      <c r="J8" s="43" t="str">
        <f t="shared" si="2"/>
        <v>074571 - ENTRE-2-VERRES</v>
      </c>
      <c r="K8" s="51">
        <f t="shared" si="3"/>
        <v>25.13672875</v>
      </c>
      <c r="L8" s="52">
        <v>13.773549999999998</v>
      </c>
      <c r="M8" s="53">
        <f t="shared" si="4"/>
        <v>25.13672875</v>
      </c>
      <c r="N8" s="43" t="s">
        <v>42</v>
      </c>
      <c r="O8" s="43" t="s">
        <v>43</v>
      </c>
      <c r="P8" s="43" t="s">
        <v>44</v>
      </c>
      <c r="Q8" s="51" t="str">
        <f t="shared" si="5"/>
        <v>40*40</v>
      </c>
      <c r="R8" s="54">
        <v>1.0</v>
      </c>
      <c r="S8" s="55">
        <v>0.0</v>
      </c>
      <c r="T8" s="55">
        <v>0.0</v>
      </c>
      <c r="U8" s="55">
        <v>0.0</v>
      </c>
      <c r="V8" s="43" t="s">
        <v>45</v>
      </c>
      <c r="W8" s="51" t="str">
        <f t="shared" si="6"/>
        <v>BLANC - 40*40 - PAS DE REHAUSSE - (Largeur 24mm Profondeur 24mm)</v>
      </c>
      <c r="X8" s="54">
        <v>0.0</v>
      </c>
      <c r="Y8" s="56" t="s">
        <v>46</v>
      </c>
      <c r="Z8" s="51" t="str">
        <f t="shared" si="7"/>
        <v>ENTRE-2-VERRES BLANC 40*40 VERRE</v>
      </c>
      <c r="AA8" s="43" t="s">
        <v>47</v>
      </c>
      <c r="AB8" s="43" t="s">
        <v>48</v>
      </c>
      <c r="AC8" s="51" t="str">
        <f t="shared" si="8"/>
        <v>ENTRE-2-VERRES BLANC 40*40 VERRE</v>
      </c>
      <c r="AD8" s="43" t="s">
        <v>49</v>
      </c>
      <c r="AE8" s="43" t="str">
        <f t="shared" si="9"/>
        <v>ANDREA  40*40 BLANC VERRE PAS DE REHAUSSE - CADRES CLASSIQUES - Pas de passepartout - Dos classique sans chevalet (Largeur 24mm Profondeur 24mm)</v>
      </c>
      <c r="AF8" s="43" t="str">
        <f t="shared" si="1"/>
        <v>ANDREA  40*40 BLANC VERRE PAS DE REHAUSSE - CADRES CLASSIQUES - Pas de passepartout - Dos classique sans chevalet (Largeur 24mm Profondeur 24mm)</v>
      </c>
      <c r="AG8" s="57">
        <f t="shared" si="10"/>
        <v>23.9625693</v>
      </c>
      <c r="AH8" s="52">
        <v>13.57</v>
      </c>
      <c r="AI8" s="43"/>
      <c r="AJ8" s="43"/>
      <c r="AK8" s="43"/>
      <c r="AL8" s="43"/>
      <c r="AM8" s="43"/>
      <c r="AN8" s="43"/>
      <c r="AO8" s="43"/>
    </row>
    <row r="9" ht="15.75" customHeight="1">
      <c r="A9" s="43">
        <v>357.0</v>
      </c>
      <c r="B9" s="44" t="s">
        <v>38</v>
      </c>
      <c r="C9" s="45" t="s">
        <v>58</v>
      </c>
      <c r="D9" s="46" t="s">
        <v>59</v>
      </c>
      <c r="E9" s="47">
        <v>345707.0</v>
      </c>
      <c r="F9" s="48" t="s">
        <v>59</v>
      </c>
      <c r="G9" s="49">
        <v>5.0</v>
      </c>
      <c r="H9" s="50">
        <v>15.159511374507534</v>
      </c>
      <c r="I9" s="51" t="s">
        <v>41</v>
      </c>
      <c r="J9" s="43" t="str">
        <f t="shared" si="2"/>
        <v>074572 - ENTRE-2-VERRES</v>
      </c>
      <c r="K9" s="51">
        <f t="shared" si="3"/>
        <v>28.61919375</v>
      </c>
      <c r="L9" s="52">
        <v>15.681749999999997</v>
      </c>
      <c r="M9" s="53">
        <f t="shared" si="4"/>
        <v>28.61919375</v>
      </c>
      <c r="N9" s="43" t="s">
        <v>42</v>
      </c>
      <c r="O9" s="43" t="s">
        <v>43</v>
      </c>
      <c r="P9" s="43" t="s">
        <v>44</v>
      </c>
      <c r="Q9" s="51" t="str">
        <f t="shared" si="5"/>
        <v>40*50</v>
      </c>
      <c r="R9" s="54">
        <v>1.0</v>
      </c>
      <c r="S9" s="55">
        <v>0.0</v>
      </c>
      <c r="T9" s="55">
        <v>0.0</v>
      </c>
      <c r="U9" s="55">
        <v>0.0</v>
      </c>
      <c r="V9" s="43" t="s">
        <v>45</v>
      </c>
      <c r="W9" s="51" t="str">
        <f t="shared" si="6"/>
        <v>BLANC - 40*50 - PAS DE REHAUSSE - (Largeur 24mm Profondeur 24mm)</v>
      </c>
      <c r="X9" s="54">
        <v>0.0</v>
      </c>
      <c r="Y9" s="56" t="s">
        <v>46</v>
      </c>
      <c r="Z9" s="51" t="str">
        <f t="shared" si="7"/>
        <v>ENTRE-2-VERRES BLANC 40*50 VERRE</v>
      </c>
      <c r="AA9" s="43" t="s">
        <v>47</v>
      </c>
      <c r="AB9" s="43" t="s">
        <v>48</v>
      </c>
      <c r="AC9" s="51" t="str">
        <f t="shared" si="8"/>
        <v>ENTRE-2-VERRES BLANC 40*50 VERRE</v>
      </c>
      <c r="AD9" s="43" t="s">
        <v>49</v>
      </c>
      <c r="AE9" s="43" t="str">
        <f t="shared" si="9"/>
        <v>ANDREA  40*50 BLANC VERRE PAS DE REHAUSSE - CADRES CLASSIQUES - Pas de passepartout - Dos classique sans chevalet (Largeur 24mm Profondeur 24mm)</v>
      </c>
      <c r="AF9" s="43" t="str">
        <f t="shared" si="1"/>
        <v>ANDREA  40*50 BLANC VERRE PAS DE REHAUSSE - CADRES CLASSIQUES - Pas de passepartout - Dos classique sans chevalet (Largeur 24mm Profondeur 24mm)</v>
      </c>
      <c r="AG9" s="57">
        <f t="shared" si="10"/>
        <v>27.28712047</v>
      </c>
      <c r="AH9" s="52">
        <v>15.45</v>
      </c>
      <c r="AI9" s="43"/>
      <c r="AJ9" s="43"/>
      <c r="AK9" s="43"/>
      <c r="AL9" s="43"/>
      <c r="AM9" s="43"/>
      <c r="AN9" s="43"/>
      <c r="AO9" s="43"/>
    </row>
    <row r="10" ht="15.75" customHeight="1">
      <c r="A10" s="43">
        <v>346.0</v>
      </c>
      <c r="B10" s="44" t="s">
        <v>60</v>
      </c>
      <c r="C10" s="45" t="s">
        <v>39</v>
      </c>
      <c r="D10" s="46" t="s">
        <v>61</v>
      </c>
      <c r="E10" s="47">
        <v>345707.0</v>
      </c>
      <c r="F10" s="48" t="s">
        <v>61</v>
      </c>
      <c r="G10" s="49">
        <v>9.0</v>
      </c>
      <c r="H10" s="50">
        <v>6.629393332297198</v>
      </c>
      <c r="I10" s="51" t="s">
        <v>41</v>
      </c>
      <c r="J10" s="43" t="str">
        <f t="shared" si="2"/>
        <v>074561 - ENTRE-2-VERRES</v>
      </c>
      <c r="K10" s="51">
        <f t="shared" si="3"/>
        <v>12.522055</v>
      </c>
      <c r="L10" s="52">
        <v>6.861399999999999</v>
      </c>
      <c r="M10" s="53">
        <f t="shared" si="4"/>
        <v>12.522055</v>
      </c>
      <c r="N10" s="43" t="s">
        <v>42</v>
      </c>
      <c r="O10" s="43" t="s">
        <v>43</v>
      </c>
      <c r="P10" s="43" t="s">
        <v>62</v>
      </c>
      <c r="Q10" s="51" t="str">
        <f t="shared" si="5"/>
        <v>20*20</v>
      </c>
      <c r="R10" s="54">
        <v>1.0</v>
      </c>
      <c r="S10" s="55">
        <v>0.0</v>
      </c>
      <c r="T10" s="55">
        <v>0.0</v>
      </c>
      <c r="U10" s="55">
        <v>0.0</v>
      </c>
      <c r="V10" s="43" t="s">
        <v>45</v>
      </c>
      <c r="W10" s="51" t="str">
        <f t="shared" si="6"/>
        <v>NOIR - 20*20 - PAS DE REHAUSSE - (Largeur 24mm Profondeur 24mm)</v>
      </c>
      <c r="X10" s="54">
        <v>0.0</v>
      </c>
      <c r="Y10" s="56" t="s">
        <v>46</v>
      </c>
      <c r="Z10" s="51" t="str">
        <f t="shared" si="7"/>
        <v>ENTRE-2-VERRES NOIR 20*20 VERRE</v>
      </c>
      <c r="AA10" s="43" t="s">
        <v>47</v>
      </c>
      <c r="AB10" s="43" t="s">
        <v>48</v>
      </c>
      <c r="AC10" s="51" t="str">
        <f t="shared" si="8"/>
        <v>ENTRE-2-VERRES NOIR 20*20 VERRE</v>
      </c>
      <c r="AD10" s="43" t="s">
        <v>49</v>
      </c>
      <c r="AE10" s="43" t="str">
        <f t="shared" si="9"/>
        <v>ANDREA  20*20 NOIR VERRE PAS DE REHAUSSE - CADRES CLASSIQUES - Pas de passepartout - Dos classique sans chevalet (Largeur 24mm Profondeur 24mm)</v>
      </c>
      <c r="AF10" s="43" t="str">
        <f t="shared" si="1"/>
        <v>ANDREA  20*20 NOIR VERRE PAS DE REHAUSSE - CADRES CLASSIQUES - Pas de passepartout - Dos classique sans chevalet (Largeur 24mm Profondeur 24mm)</v>
      </c>
      <c r="AG10" s="57">
        <f t="shared" si="10"/>
        <v>11.932908</v>
      </c>
      <c r="AH10" s="52">
        <v>6.76</v>
      </c>
      <c r="AI10" s="43"/>
      <c r="AJ10" s="43"/>
      <c r="AK10" s="43"/>
      <c r="AL10" s="43"/>
      <c r="AM10" s="43"/>
      <c r="AN10" s="43"/>
      <c r="AO10" s="43"/>
    </row>
    <row r="11" ht="15.75" customHeight="1">
      <c r="A11" s="43">
        <v>347.0</v>
      </c>
      <c r="B11" s="44" t="s">
        <v>60</v>
      </c>
      <c r="C11" s="45" t="s">
        <v>50</v>
      </c>
      <c r="D11" s="46" t="s">
        <v>63</v>
      </c>
      <c r="E11" s="47">
        <v>345707.0</v>
      </c>
      <c r="F11" s="48" t="s">
        <v>63</v>
      </c>
      <c r="G11" s="49">
        <v>6.0</v>
      </c>
      <c r="H11" s="50">
        <v>8.791411698325652</v>
      </c>
      <c r="I11" s="51" t="s">
        <v>41</v>
      </c>
      <c r="J11" s="43" t="str">
        <f t="shared" si="2"/>
        <v>074562 - ENTRE-2-VERRES</v>
      </c>
      <c r="K11" s="51">
        <f t="shared" si="3"/>
        <v>16.59728</v>
      </c>
      <c r="L11" s="52">
        <v>9.0944</v>
      </c>
      <c r="M11" s="53">
        <f t="shared" si="4"/>
        <v>16.59728</v>
      </c>
      <c r="N11" s="43" t="s">
        <v>42</v>
      </c>
      <c r="O11" s="43" t="s">
        <v>43</v>
      </c>
      <c r="P11" s="43" t="s">
        <v>62</v>
      </c>
      <c r="Q11" s="51" t="str">
        <f t="shared" si="5"/>
        <v>24*30</v>
      </c>
      <c r="R11" s="54">
        <v>1.0</v>
      </c>
      <c r="S11" s="55">
        <v>0.0</v>
      </c>
      <c r="T11" s="55">
        <v>0.0</v>
      </c>
      <c r="U11" s="55">
        <v>0.0</v>
      </c>
      <c r="V11" s="43" t="s">
        <v>45</v>
      </c>
      <c r="W11" s="51" t="str">
        <f t="shared" si="6"/>
        <v>NOIR - 24*30 - PAS DE REHAUSSE - (Largeur 24mm Profondeur 24mm)</v>
      </c>
      <c r="X11" s="54">
        <v>0.0</v>
      </c>
      <c r="Y11" s="56" t="s">
        <v>46</v>
      </c>
      <c r="Z11" s="51" t="str">
        <f t="shared" si="7"/>
        <v>ENTRE-2-VERRES NOIR 24*30 VERRE</v>
      </c>
      <c r="AA11" s="43" t="s">
        <v>47</v>
      </c>
      <c r="AB11" s="43" t="s">
        <v>48</v>
      </c>
      <c r="AC11" s="51" t="str">
        <f t="shared" si="8"/>
        <v>ENTRE-2-VERRES NOIR 24*30 VERRE</v>
      </c>
      <c r="AD11" s="43" t="s">
        <v>49</v>
      </c>
      <c r="AE11" s="43" t="str">
        <f t="shared" si="9"/>
        <v>ANDREA  24*30 NOIR VERRE PAS DE REHAUSSE - CADRES CLASSIQUES - Pas de passepartout - Dos classique sans chevalet (Largeur 24mm Profondeur 24mm)</v>
      </c>
      <c r="AF11" s="43" t="str">
        <f t="shared" si="1"/>
        <v>ANDREA  24*30 NOIR VERRE PAS DE REHAUSSE - CADRES CLASSIQUES - Pas de passepartout - Dos classique sans chevalet (Largeur 24mm Profondeur 24mm)</v>
      </c>
      <c r="AG11" s="57">
        <f t="shared" si="10"/>
        <v>15.82454106</v>
      </c>
      <c r="AH11" s="52">
        <v>8.96</v>
      </c>
      <c r="AI11" s="43"/>
      <c r="AJ11" s="43"/>
      <c r="AK11" s="43"/>
      <c r="AL11" s="43"/>
      <c r="AM11" s="43"/>
      <c r="AN11" s="43"/>
      <c r="AO11" s="43"/>
    </row>
    <row r="12" ht="15.75" customHeight="1">
      <c r="A12" s="43">
        <v>348.0</v>
      </c>
      <c r="B12" s="44" t="s">
        <v>60</v>
      </c>
      <c r="C12" s="45" t="s">
        <v>52</v>
      </c>
      <c r="D12" s="46" t="s">
        <v>64</v>
      </c>
      <c r="E12" s="47">
        <v>345707.0</v>
      </c>
      <c r="F12" s="48" t="s">
        <v>64</v>
      </c>
      <c r="G12" s="49">
        <v>3.0</v>
      </c>
      <c r="H12" s="50">
        <v>9.793286231202096</v>
      </c>
      <c r="I12" s="51" t="s">
        <v>41</v>
      </c>
      <c r="J12" s="43" t="str">
        <f t="shared" si="2"/>
        <v>074563 - ENTRE-2-VERRES</v>
      </c>
      <c r="K12" s="51">
        <f t="shared" si="3"/>
        <v>18.4867025</v>
      </c>
      <c r="L12" s="52">
        <v>10.1297</v>
      </c>
      <c r="M12" s="53">
        <f t="shared" si="4"/>
        <v>18.4867025</v>
      </c>
      <c r="N12" s="43" t="s">
        <v>42</v>
      </c>
      <c r="O12" s="43" t="s">
        <v>43</v>
      </c>
      <c r="P12" s="43" t="s">
        <v>62</v>
      </c>
      <c r="Q12" s="51" t="str">
        <f t="shared" si="5"/>
        <v>30*30</v>
      </c>
      <c r="R12" s="54">
        <v>1.0</v>
      </c>
      <c r="S12" s="55">
        <v>0.0</v>
      </c>
      <c r="T12" s="55">
        <v>0.0</v>
      </c>
      <c r="U12" s="55">
        <v>0.0</v>
      </c>
      <c r="V12" s="43" t="s">
        <v>45</v>
      </c>
      <c r="W12" s="51" t="str">
        <f t="shared" si="6"/>
        <v>NOIR - 30*30 - PAS DE REHAUSSE - (Largeur 24mm Profondeur 24mm)</v>
      </c>
      <c r="X12" s="54">
        <v>0.0</v>
      </c>
      <c r="Y12" s="56" t="s">
        <v>46</v>
      </c>
      <c r="Z12" s="51" t="str">
        <f t="shared" si="7"/>
        <v>ENTRE-2-VERRES NOIR 30*30 VERRE</v>
      </c>
      <c r="AA12" s="43" t="s">
        <v>47</v>
      </c>
      <c r="AB12" s="43" t="s">
        <v>48</v>
      </c>
      <c r="AC12" s="51" t="str">
        <f t="shared" si="8"/>
        <v>ENTRE-2-VERRES NOIR 30*30 VERRE</v>
      </c>
      <c r="AD12" s="43" t="s">
        <v>49</v>
      </c>
      <c r="AE12" s="43" t="str">
        <f t="shared" si="9"/>
        <v>ANDREA  30*30 NOIR VERRE PAS DE REHAUSSE - CADRES CLASSIQUES - Pas de passepartout - Dos classique sans chevalet (Largeur 24mm Profondeur 24mm)</v>
      </c>
      <c r="AF12" s="43" t="str">
        <f t="shared" si="1"/>
        <v>ANDREA  30*30 NOIR VERRE PAS DE REHAUSSE - CADRES CLASSIQUES - Pas de passepartout - Dos classique sans chevalet (Largeur 24mm Profondeur 24mm)</v>
      </c>
      <c r="AG12" s="57">
        <f t="shared" si="10"/>
        <v>17.62791522</v>
      </c>
      <c r="AH12" s="52">
        <v>9.98</v>
      </c>
      <c r="AI12" s="43"/>
      <c r="AJ12" s="43"/>
      <c r="AK12" s="43"/>
      <c r="AL12" s="43"/>
      <c r="AM12" s="43"/>
      <c r="AN12" s="43"/>
      <c r="AO12" s="43"/>
    </row>
    <row r="13" ht="15.75" customHeight="1">
      <c r="A13" s="43">
        <v>349.0</v>
      </c>
      <c r="B13" s="44" t="s">
        <v>60</v>
      </c>
      <c r="C13" s="45" t="s">
        <v>54</v>
      </c>
      <c r="D13" s="46" t="s">
        <v>65</v>
      </c>
      <c r="E13" s="47">
        <v>345707.0</v>
      </c>
      <c r="F13" s="48" t="s">
        <v>65</v>
      </c>
      <c r="G13" s="49">
        <v>0.0</v>
      </c>
      <c r="H13" s="50">
        <v>11.464072523733755</v>
      </c>
      <c r="I13" s="51" t="s">
        <v>41</v>
      </c>
      <c r="J13" s="43" t="str">
        <f t="shared" si="2"/>
        <v>074564 - ENTRE-2-VERRES</v>
      </c>
      <c r="K13" s="51">
        <f t="shared" si="3"/>
        <v>21.63574</v>
      </c>
      <c r="L13" s="52">
        <v>11.855199999999998</v>
      </c>
      <c r="M13" s="53">
        <f t="shared" si="4"/>
        <v>21.63574</v>
      </c>
      <c r="N13" s="43" t="s">
        <v>42</v>
      </c>
      <c r="O13" s="43" t="s">
        <v>43</v>
      </c>
      <c r="P13" s="43" t="s">
        <v>62</v>
      </c>
      <c r="Q13" s="51" t="str">
        <f t="shared" si="5"/>
        <v>30*40</v>
      </c>
      <c r="R13" s="54">
        <v>1.0</v>
      </c>
      <c r="S13" s="55">
        <v>0.0</v>
      </c>
      <c r="T13" s="55">
        <v>0.0</v>
      </c>
      <c r="U13" s="55">
        <v>0.0</v>
      </c>
      <c r="V13" s="43" t="s">
        <v>45</v>
      </c>
      <c r="W13" s="51" t="str">
        <f t="shared" si="6"/>
        <v>NOIR - 30*40 - PAS DE REHAUSSE - (Largeur 24mm Profondeur 24mm)</v>
      </c>
      <c r="X13" s="54">
        <v>0.0</v>
      </c>
      <c r="Y13" s="56" t="s">
        <v>46</v>
      </c>
      <c r="Z13" s="51" t="str">
        <f t="shared" si="7"/>
        <v>ENTRE-2-VERRES NOIR 30*40 VERRE</v>
      </c>
      <c r="AA13" s="43" t="s">
        <v>47</v>
      </c>
      <c r="AB13" s="43" t="s">
        <v>48</v>
      </c>
      <c r="AC13" s="51" t="str">
        <f t="shared" si="8"/>
        <v>ENTRE-2-VERRES NOIR 30*40 VERRE</v>
      </c>
      <c r="AD13" s="43" t="s">
        <v>49</v>
      </c>
      <c r="AE13" s="43" t="str">
        <f t="shared" si="9"/>
        <v>ANDREA  30*40 NOIR VERRE PAS DE REHAUSSE - CADRES CLASSIQUES - Pas de passepartout - Dos classique sans chevalet (Largeur 24mm Profondeur 24mm)</v>
      </c>
      <c r="AF13" s="43" t="str">
        <f t="shared" si="1"/>
        <v>ANDREA  30*40 NOIR VERRE PAS DE REHAUSSE - CADRES CLASSIQUES - Pas de passepartout - Dos classique sans chevalet (Largeur 24mm Profondeur 24mm)</v>
      </c>
      <c r="AG13" s="57">
        <f t="shared" si="10"/>
        <v>20.63533054</v>
      </c>
      <c r="AH13" s="52">
        <v>11.68</v>
      </c>
      <c r="AI13" s="43"/>
      <c r="AJ13" s="43"/>
      <c r="AK13" s="43"/>
      <c r="AL13" s="43"/>
      <c r="AM13" s="43"/>
      <c r="AN13" s="43"/>
      <c r="AO13" s="43"/>
    </row>
    <row r="14" ht="15.75" customHeight="1">
      <c r="A14" s="43">
        <v>350.0</v>
      </c>
      <c r="B14" s="44" t="s">
        <v>60</v>
      </c>
      <c r="C14" s="45" t="s">
        <v>56</v>
      </c>
      <c r="D14" s="46" t="s">
        <v>66</v>
      </c>
      <c r="E14" s="47">
        <v>345707.0</v>
      </c>
      <c r="F14" s="48" t="s">
        <v>66</v>
      </c>
      <c r="G14" s="49">
        <v>7.0</v>
      </c>
      <c r="H14" s="50">
        <v>13.312538502423832</v>
      </c>
      <c r="I14" s="51" t="s">
        <v>41</v>
      </c>
      <c r="J14" s="43" t="str">
        <f t="shared" si="2"/>
        <v>074565 - ENTRE-2-VERRES</v>
      </c>
      <c r="K14" s="51">
        <f t="shared" si="3"/>
        <v>25.13672875</v>
      </c>
      <c r="L14" s="52">
        <v>13.773549999999998</v>
      </c>
      <c r="M14" s="53">
        <f t="shared" si="4"/>
        <v>25.13672875</v>
      </c>
      <c r="N14" s="43" t="s">
        <v>42</v>
      </c>
      <c r="O14" s="43" t="s">
        <v>43</v>
      </c>
      <c r="P14" s="43" t="s">
        <v>62</v>
      </c>
      <c r="Q14" s="51" t="str">
        <f t="shared" si="5"/>
        <v>40*40</v>
      </c>
      <c r="R14" s="54">
        <v>1.0</v>
      </c>
      <c r="S14" s="55">
        <v>0.0</v>
      </c>
      <c r="T14" s="55">
        <v>0.0</v>
      </c>
      <c r="U14" s="55">
        <v>0.0</v>
      </c>
      <c r="V14" s="43" t="s">
        <v>45</v>
      </c>
      <c r="W14" s="51" t="str">
        <f t="shared" si="6"/>
        <v>NOIR - 40*40 - PAS DE REHAUSSE - (Largeur 24mm Profondeur 24mm)</v>
      </c>
      <c r="X14" s="54">
        <v>0.0</v>
      </c>
      <c r="Y14" s="56" t="s">
        <v>46</v>
      </c>
      <c r="Z14" s="51" t="str">
        <f t="shared" si="7"/>
        <v>ENTRE-2-VERRES NOIR 40*40 VERRE</v>
      </c>
      <c r="AA14" s="43" t="s">
        <v>47</v>
      </c>
      <c r="AB14" s="43" t="s">
        <v>48</v>
      </c>
      <c r="AC14" s="51" t="str">
        <f t="shared" si="8"/>
        <v>ENTRE-2-VERRES NOIR 40*40 VERRE</v>
      </c>
      <c r="AD14" s="43" t="s">
        <v>49</v>
      </c>
      <c r="AE14" s="43" t="str">
        <f t="shared" si="9"/>
        <v>ANDREA  40*40 NOIR VERRE PAS DE REHAUSSE - CADRES CLASSIQUES - Pas de passepartout - Dos classique sans chevalet (Largeur 24mm Profondeur 24mm)</v>
      </c>
      <c r="AF14" s="43" t="str">
        <f t="shared" si="1"/>
        <v>ANDREA  40*40 NOIR VERRE PAS DE REHAUSSE - CADRES CLASSIQUES - Pas de passepartout - Dos classique sans chevalet (Largeur 24mm Profondeur 24mm)</v>
      </c>
      <c r="AG14" s="57">
        <f t="shared" si="10"/>
        <v>23.9625693</v>
      </c>
      <c r="AH14" s="52">
        <v>13.57</v>
      </c>
      <c r="AI14" s="43"/>
      <c r="AJ14" s="43"/>
      <c r="AK14" s="43"/>
      <c r="AL14" s="43"/>
      <c r="AM14" s="43"/>
      <c r="AN14" s="43"/>
      <c r="AO14" s="43"/>
    </row>
    <row r="15" ht="15.75" customHeight="1">
      <c r="A15" s="43">
        <v>351.0</v>
      </c>
      <c r="B15" s="44" t="s">
        <v>60</v>
      </c>
      <c r="C15" s="45" t="s">
        <v>58</v>
      </c>
      <c r="D15" s="46" t="s">
        <v>67</v>
      </c>
      <c r="E15" s="47">
        <v>345707.0</v>
      </c>
      <c r="F15" s="48" t="s">
        <v>67</v>
      </c>
      <c r="G15" s="49">
        <v>4.0</v>
      </c>
      <c r="H15" s="50">
        <v>15.159511374507534</v>
      </c>
      <c r="I15" s="51" t="s">
        <v>41</v>
      </c>
      <c r="J15" s="43" t="str">
        <f t="shared" si="2"/>
        <v>074566 - ENTRE-2-VERRES</v>
      </c>
      <c r="K15" s="51">
        <f t="shared" si="3"/>
        <v>28.61919375</v>
      </c>
      <c r="L15" s="52">
        <v>15.681749999999997</v>
      </c>
      <c r="M15" s="53">
        <f t="shared" si="4"/>
        <v>28.61919375</v>
      </c>
      <c r="N15" s="43" t="s">
        <v>42</v>
      </c>
      <c r="O15" s="43" t="s">
        <v>43</v>
      </c>
      <c r="P15" s="43" t="s">
        <v>62</v>
      </c>
      <c r="Q15" s="51" t="str">
        <f t="shared" si="5"/>
        <v>40*50</v>
      </c>
      <c r="R15" s="54">
        <v>1.0</v>
      </c>
      <c r="S15" s="55">
        <v>0.0</v>
      </c>
      <c r="T15" s="55">
        <v>0.0</v>
      </c>
      <c r="U15" s="55">
        <v>0.0</v>
      </c>
      <c r="V15" s="43" t="s">
        <v>45</v>
      </c>
      <c r="W15" s="51" t="str">
        <f t="shared" si="6"/>
        <v>NOIR - 40*50 - PAS DE REHAUSSE - (Largeur 24mm Profondeur 24mm)</v>
      </c>
      <c r="X15" s="54">
        <v>0.0</v>
      </c>
      <c r="Y15" s="56" t="s">
        <v>46</v>
      </c>
      <c r="Z15" s="51" t="str">
        <f t="shared" si="7"/>
        <v>ENTRE-2-VERRES NOIR 40*50 VERRE</v>
      </c>
      <c r="AA15" s="43" t="s">
        <v>47</v>
      </c>
      <c r="AB15" s="43" t="s">
        <v>48</v>
      </c>
      <c r="AC15" s="51" t="str">
        <f t="shared" si="8"/>
        <v>ENTRE-2-VERRES NOIR 40*50 VERRE</v>
      </c>
      <c r="AD15" s="43" t="s">
        <v>49</v>
      </c>
      <c r="AE15" s="43" t="str">
        <f t="shared" si="9"/>
        <v>ANDREA  40*50 NOIR VERRE PAS DE REHAUSSE - CADRES CLASSIQUES - Pas de passepartout - Dos classique sans chevalet (Largeur 24mm Profondeur 24mm)</v>
      </c>
      <c r="AF15" s="43" t="str">
        <f t="shared" si="1"/>
        <v>ANDREA  40*50 NOIR VERRE PAS DE REHAUSSE - CADRES CLASSIQUES - Pas de passepartout - Dos classique sans chevalet (Largeur 24mm Profondeur 24mm)</v>
      </c>
      <c r="AG15" s="57">
        <f t="shared" si="10"/>
        <v>27.28712047</v>
      </c>
      <c r="AH15" s="52">
        <v>15.45</v>
      </c>
      <c r="AI15" s="43"/>
      <c r="AJ15" s="43"/>
      <c r="AK15" s="43"/>
      <c r="AL15" s="43"/>
      <c r="AM15" s="43"/>
      <c r="AN15" s="43"/>
      <c r="AO15" s="43"/>
    </row>
  </sheetData>
  <mergeCells count="1">
    <mergeCell ref="E2:F3"/>
  </mergeCells>
  <printOptions/>
  <pageMargins bottom="0.75" footer="0.0" header="0.0" left="0.7" right="0.7" top="0.7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2.89"/>
    <col customWidth="1" min="2" max="2" width="28.56"/>
    <col customWidth="1" min="3" max="3" width="25.33"/>
    <col customWidth="1" min="4" max="4" width="30.56"/>
    <col customWidth="1" min="5" max="5" width="28.78"/>
    <col customWidth="1" min="6" max="6" width="23.22"/>
    <col customWidth="1" min="7" max="7" width="19.67"/>
  </cols>
  <sheetData>
    <row r="1">
      <c r="A1" s="58"/>
    </row>
    <row r="2">
      <c r="B2" s="59" t="s">
        <v>68</v>
      </c>
      <c r="C2" s="59" t="s">
        <v>69</v>
      </c>
      <c r="D2" s="60" t="s">
        <v>70</v>
      </c>
      <c r="E2" s="61" t="s">
        <v>71</v>
      </c>
      <c r="F2" s="61" t="s">
        <v>72</v>
      </c>
      <c r="G2" s="61" t="s">
        <v>73</v>
      </c>
    </row>
    <row r="3">
      <c r="B3" s="62" t="s">
        <v>74</v>
      </c>
      <c r="C3" s="62" t="s">
        <v>75</v>
      </c>
      <c r="D3" s="62" t="s">
        <v>76</v>
      </c>
      <c r="E3" s="62" t="s">
        <v>77</v>
      </c>
      <c r="F3" s="62" t="s">
        <v>78</v>
      </c>
    </row>
    <row r="4">
      <c r="A4" s="63"/>
      <c r="B4" s="64"/>
    </row>
    <row r="5">
      <c r="A5" s="58"/>
    </row>
    <row r="6">
      <c r="A6" s="58"/>
    </row>
    <row r="7">
      <c r="A7" s="58"/>
    </row>
    <row r="8">
      <c r="A8" s="58"/>
    </row>
    <row r="9">
      <c r="A9" s="58"/>
    </row>
    <row r="10">
      <c r="A10" s="58"/>
    </row>
    <row r="11">
      <c r="A11" s="58"/>
    </row>
    <row r="12">
      <c r="A12" s="58"/>
    </row>
    <row r="13">
      <c r="A13" s="58"/>
    </row>
    <row r="14">
      <c r="A14" s="58"/>
    </row>
    <row r="15">
      <c r="A15" s="58"/>
    </row>
    <row r="16">
      <c r="A16" s="58"/>
    </row>
    <row r="17">
      <c r="A17" s="58"/>
    </row>
    <row r="18">
      <c r="A18" s="58"/>
    </row>
    <row r="19">
      <c r="A19" s="58"/>
    </row>
    <row r="20">
      <c r="A20" s="58"/>
    </row>
    <row r="21">
      <c r="A21" s="58"/>
    </row>
    <row r="22">
      <c r="A22" s="58"/>
    </row>
    <row r="23">
      <c r="A23" s="58"/>
    </row>
    <row r="24">
      <c r="A24" s="58"/>
    </row>
    <row r="25">
      <c r="A25" s="58"/>
    </row>
    <row r="26">
      <c r="A26" s="58"/>
    </row>
    <row r="27">
      <c r="A27" s="58"/>
    </row>
    <row r="28">
      <c r="A28" s="58"/>
    </row>
    <row r="29">
      <c r="A29" s="58"/>
    </row>
    <row r="30">
      <c r="A30" s="58"/>
    </row>
    <row r="31">
      <c r="A31" s="58"/>
    </row>
    <row r="32">
      <c r="A32" s="58"/>
    </row>
    <row r="33">
      <c r="A33" s="58"/>
    </row>
    <row r="34">
      <c r="A34" s="58"/>
    </row>
    <row r="35">
      <c r="A35" s="58"/>
    </row>
    <row r="36">
      <c r="A36" s="58"/>
    </row>
    <row r="37">
      <c r="A37" s="58"/>
    </row>
    <row r="38">
      <c r="A38" s="58"/>
    </row>
    <row r="39">
      <c r="A39" s="58"/>
    </row>
    <row r="40">
      <c r="A40" s="58"/>
    </row>
    <row r="41">
      <c r="A41" s="58"/>
    </row>
    <row r="42">
      <c r="A42" s="58"/>
    </row>
    <row r="43">
      <c r="A43" s="58"/>
    </row>
    <row r="44">
      <c r="A44" s="58"/>
    </row>
    <row r="45">
      <c r="A45" s="58"/>
    </row>
    <row r="46">
      <c r="A46" s="58"/>
    </row>
    <row r="47">
      <c r="A47" s="58"/>
    </row>
    <row r="48">
      <c r="A48" s="58"/>
    </row>
    <row r="49">
      <c r="A49" s="58"/>
    </row>
    <row r="50">
      <c r="A50" s="58"/>
    </row>
    <row r="51">
      <c r="A51" s="58"/>
    </row>
    <row r="52">
      <c r="A52" s="58"/>
    </row>
    <row r="53">
      <c r="A53" s="58"/>
    </row>
    <row r="54">
      <c r="A54" s="58"/>
    </row>
    <row r="55">
      <c r="A55" s="58"/>
    </row>
    <row r="56">
      <c r="A56" s="58"/>
    </row>
    <row r="57">
      <c r="A57" s="58"/>
    </row>
    <row r="58">
      <c r="A58" s="58"/>
    </row>
    <row r="59">
      <c r="A59" s="58"/>
    </row>
    <row r="60">
      <c r="A60" s="58"/>
    </row>
    <row r="61">
      <c r="A61" s="58"/>
    </row>
    <row r="62">
      <c r="A62" s="58"/>
    </row>
    <row r="63">
      <c r="A63" s="58"/>
    </row>
    <row r="64">
      <c r="A64" s="58"/>
    </row>
    <row r="65">
      <c r="A65" s="58"/>
    </row>
    <row r="66">
      <c r="A66" s="58"/>
    </row>
    <row r="67">
      <c r="A67" s="58"/>
    </row>
    <row r="68">
      <c r="A68" s="58"/>
    </row>
    <row r="69">
      <c r="A69" s="58"/>
    </row>
    <row r="70">
      <c r="A70" s="58"/>
    </row>
    <row r="71">
      <c r="A71" s="58"/>
    </row>
    <row r="72">
      <c r="A72" s="58"/>
    </row>
    <row r="73">
      <c r="A73" s="58"/>
    </row>
    <row r="74">
      <c r="A74" s="58"/>
    </row>
    <row r="75">
      <c r="A75" s="58"/>
    </row>
    <row r="76">
      <c r="A76" s="58"/>
    </row>
    <row r="77">
      <c r="A77" s="58"/>
    </row>
    <row r="78">
      <c r="A78" s="58"/>
    </row>
    <row r="79">
      <c r="A79" s="58"/>
    </row>
    <row r="80">
      <c r="A80" s="58"/>
    </row>
    <row r="81">
      <c r="A81" s="58"/>
    </row>
    <row r="82">
      <c r="A82" s="58"/>
    </row>
    <row r="83">
      <c r="A83" s="58"/>
    </row>
    <row r="84">
      <c r="A84" s="58"/>
    </row>
    <row r="85">
      <c r="A85" s="58"/>
    </row>
    <row r="86">
      <c r="A86" s="58"/>
    </row>
    <row r="87">
      <c r="A87" s="58"/>
    </row>
    <row r="88">
      <c r="A88" s="58"/>
    </row>
    <row r="89">
      <c r="A89" s="58"/>
    </row>
    <row r="90">
      <c r="A90" s="58"/>
    </row>
    <row r="91">
      <c r="A91" s="58"/>
    </row>
    <row r="92">
      <c r="A92" s="58"/>
    </row>
    <row r="93">
      <c r="A93" s="58"/>
    </row>
    <row r="94">
      <c r="A94" s="58"/>
    </row>
    <row r="95">
      <c r="A95" s="58"/>
    </row>
    <row r="96">
      <c r="A96" s="58"/>
    </row>
    <row r="97">
      <c r="A97" s="58"/>
    </row>
    <row r="98">
      <c r="A98" s="58"/>
    </row>
    <row r="99">
      <c r="A99" s="58"/>
    </row>
    <row r="100">
      <c r="A100" s="58"/>
    </row>
    <row r="101">
      <c r="A101" s="58"/>
    </row>
    <row r="102">
      <c r="A102" s="58"/>
    </row>
    <row r="103">
      <c r="A103" s="58"/>
    </row>
    <row r="104">
      <c r="A104" s="58"/>
    </row>
    <row r="105">
      <c r="A105" s="58"/>
    </row>
    <row r="106">
      <c r="A106" s="58"/>
    </row>
    <row r="107">
      <c r="A107" s="58"/>
    </row>
    <row r="108">
      <c r="A108" s="58"/>
    </row>
    <row r="109">
      <c r="A109" s="58"/>
    </row>
    <row r="110">
      <c r="A110" s="58"/>
    </row>
    <row r="111">
      <c r="A111" s="58"/>
    </row>
    <row r="112">
      <c r="A112" s="58"/>
    </row>
    <row r="113">
      <c r="A113" s="58"/>
    </row>
    <row r="114">
      <c r="A114" s="58"/>
    </row>
    <row r="115">
      <c r="A115" s="58"/>
    </row>
    <row r="116">
      <c r="A116" s="58"/>
    </row>
    <row r="117">
      <c r="A117" s="58"/>
    </row>
    <row r="118">
      <c r="A118" s="58"/>
    </row>
    <row r="119">
      <c r="A119" s="58"/>
    </row>
    <row r="120">
      <c r="A120" s="58"/>
    </row>
    <row r="121">
      <c r="A121" s="58"/>
    </row>
    <row r="122">
      <c r="A122" s="58"/>
    </row>
    <row r="123">
      <c r="A123" s="58"/>
    </row>
    <row r="124">
      <c r="A124" s="58"/>
    </row>
    <row r="125">
      <c r="A125" s="58"/>
    </row>
    <row r="126">
      <c r="A126" s="58"/>
    </row>
    <row r="127">
      <c r="A127" s="58"/>
    </row>
    <row r="128">
      <c r="A128" s="58"/>
    </row>
    <row r="129">
      <c r="A129" s="58"/>
    </row>
    <row r="130">
      <c r="A130" s="58"/>
    </row>
    <row r="131">
      <c r="A131" s="58"/>
    </row>
    <row r="132">
      <c r="A132" s="58"/>
    </row>
    <row r="133">
      <c r="A133" s="58"/>
    </row>
    <row r="134">
      <c r="A134" s="58"/>
    </row>
    <row r="135">
      <c r="A135" s="58"/>
    </row>
    <row r="136">
      <c r="A136" s="58"/>
    </row>
    <row r="137">
      <c r="A137" s="58"/>
    </row>
    <row r="138">
      <c r="A138" s="58"/>
    </row>
    <row r="139">
      <c r="A139" s="58"/>
    </row>
    <row r="140">
      <c r="A140" s="58"/>
    </row>
    <row r="141">
      <c r="A141" s="58"/>
    </row>
    <row r="142">
      <c r="A142" s="58"/>
    </row>
    <row r="143">
      <c r="A143" s="58"/>
    </row>
    <row r="144">
      <c r="A144" s="58"/>
    </row>
    <row r="145">
      <c r="A145" s="58"/>
    </row>
    <row r="146">
      <c r="A146" s="58"/>
    </row>
    <row r="147">
      <c r="A147" s="58"/>
    </row>
    <row r="148">
      <c r="A148" s="58"/>
    </row>
    <row r="149">
      <c r="A149" s="58"/>
    </row>
    <row r="150">
      <c r="A150" s="58"/>
    </row>
    <row r="151">
      <c r="A151" s="58"/>
    </row>
    <row r="152">
      <c r="A152" s="58"/>
    </row>
    <row r="153">
      <c r="A153" s="58"/>
    </row>
    <row r="154">
      <c r="A154" s="58"/>
    </row>
    <row r="155">
      <c r="A155" s="58"/>
    </row>
    <row r="156">
      <c r="A156" s="58"/>
    </row>
    <row r="157">
      <c r="A157" s="58"/>
    </row>
    <row r="158">
      <c r="A158" s="58"/>
    </row>
    <row r="159">
      <c r="A159" s="58"/>
    </row>
    <row r="160">
      <c r="A160" s="58"/>
    </row>
    <row r="161">
      <c r="A161" s="58"/>
    </row>
    <row r="162">
      <c r="A162" s="58"/>
    </row>
    <row r="163">
      <c r="A163" s="58"/>
    </row>
    <row r="164">
      <c r="A164" s="58"/>
    </row>
    <row r="165">
      <c r="A165" s="58"/>
    </row>
    <row r="166">
      <c r="A166" s="58"/>
    </row>
    <row r="167">
      <c r="A167" s="58"/>
    </row>
    <row r="168">
      <c r="A168" s="58"/>
    </row>
    <row r="169">
      <c r="A169" s="58"/>
    </row>
    <row r="170">
      <c r="A170" s="58"/>
    </row>
    <row r="171">
      <c r="A171" s="58"/>
    </row>
    <row r="172">
      <c r="A172" s="58"/>
    </row>
    <row r="173">
      <c r="A173" s="58"/>
    </row>
    <row r="174">
      <c r="A174" s="58"/>
    </row>
    <row r="175">
      <c r="A175" s="58"/>
    </row>
    <row r="176">
      <c r="A176" s="58"/>
    </row>
    <row r="177">
      <c r="A177" s="58"/>
    </row>
    <row r="178">
      <c r="A178" s="58"/>
    </row>
    <row r="179">
      <c r="A179" s="58"/>
    </row>
    <row r="180">
      <c r="A180" s="58"/>
    </row>
    <row r="181">
      <c r="A181" s="58"/>
    </row>
    <row r="182">
      <c r="A182" s="58"/>
    </row>
    <row r="183">
      <c r="A183" s="58"/>
    </row>
    <row r="184">
      <c r="A184" s="58"/>
    </row>
    <row r="185">
      <c r="A185" s="58"/>
    </row>
    <row r="186">
      <c r="A186" s="58"/>
    </row>
    <row r="187">
      <c r="A187" s="58"/>
    </row>
    <row r="188">
      <c r="A188" s="58"/>
    </row>
    <row r="189">
      <c r="A189" s="58"/>
    </row>
    <row r="190">
      <c r="A190" s="58"/>
    </row>
    <row r="191">
      <c r="A191" s="58"/>
    </row>
    <row r="192">
      <c r="A192" s="58"/>
    </row>
    <row r="193">
      <c r="A193" s="58"/>
    </row>
    <row r="194">
      <c r="A194" s="58"/>
    </row>
    <row r="195">
      <c r="A195" s="58"/>
    </row>
    <row r="196">
      <c r="A196" s="58"/>
    </row>
    <row r="197">
      <c r="A197" s="58"/>
    </row>
    <row r="198">
      <c r="A198" s="58"/>
    </row>
    <row r="199">
      <c r="A199" s="58"/>
    </row>
    <row r="200">
      <c r="A200" s="58"/>
    </row>
    <row r="201">
      <c r="A201" s="58"/>
    </row>
    <row r="202">
      <c r="A202" s="58"/>
    </row>
    <row r="203">
      <c r="A203" s="58"/>
    </row>
    <row r="204">
      <c r="A204" s="58"/>
    </row>
    <row r="205">
      <c r="A205" s="58"/>
    </row>
    <row r="206">
      <c r="A206" s="58"/>
    </row>
    <row r="207">
      <c r="A207" s="58"/>
    </row>
    <row r="208">
      <c r="A208" s="58"/>
    </row>
    <row r="209">
      <c r="A209" s="58"/>
    </row>
    <row r="210">
      <c r="A210" s="58"/>
    </row>
    <row r="211">
      <c r="A211" s="58"/>
    </row>
    <row r="212">
      <c r="A212" s="58"/>
    </row>
    <row r="213">
      <c r="A213" s="58"/>
    </row>
    <row r="214">
      <c r="A214" s="58"/>
    </row>
    <row r="215">
      <c r="A215" s="58"/>
    </row>
    <row r="216">
      <c r="A216" s="58"/>
    </row>
    <row r="217">
      <c r="A217" s="58"/>
    </row>
    <row r="218">
      <c r="A218" s="58"/>
    </row>
    <row r="219">
      <c r="A219" s="58"/>
    </row>
    <row r="220">
      <c r="A220" s="58"/>
    </row>
    <row r="221">
      <c r="A221" s="58"/>
    </row>
    <row r="222">
      <c r="A222" s="58"/>
    </row>
    <row r="223">
      <c r="A223" s="58"/>
    </row>
    <row r="224">
      <c r="A224" s="58"/>
    </row>
    <row r="225">
      <c r="A225" s="58"/>
    </row>
    <row r="226">
      <c r="A226" s="58"/>
    </row>
    <row r="227">
      <c r="A227" s="58"/>
    </row>
    <row r="228">
      <c r="A228" s="58"/>
    </row>
    <row r="229">
      <c r="A229" s="58"/>
    </row>
    <row r="230">
      <c r="A230" s="58"/>
    </row>
    <row r="231">
      <c r="A231" s="58"/>
    </row>
    <row r="232">
      <c r="A232" s="58"/>
    </row>
    <row r="233">
      <c r="A233" s="58"/>
    </row>
    <row r="234">
      <c r="A234" s="58"/>
    </row>
    <row r="235">
      <c r="A235" s="58"/>
    </row>
    <row r="236">
      <c r="A236" s="58"/>
    </row>
    <row r="237">
      <c r="A237" s="58"/>
    </row>
    <row r="238">
      <c r="A238" s="58"/>
    </row>
    <row r="239">
      <c r="A239" s="58"/>
    </row>
    <row r="240">
      <c r="A240" s="58"/>
    </row>
    <row r="241">
      <c r="A241" s="58"/>
    </row>
    <row r="242">
      <c r="A242" s="58"/>
    </row>
    <row r="243">
      <c r="A243" s="58"/>
    </row>
    <row r="244">
      <c r="A244" s="58"/>
    </row>
    <row r="245">
      <c r="A245" s="58"/>
    </row>
    <row r="246">
      <c r="A246" s="58"/>
    </row>
    <row r="247">
      <c r="A247" s="58"/>
    </row>
    <row r="248">
      <c r="A248" s="58"/>
    </row>
    <row r="249">
      <c r="A249" s="58"/>
    </row>
    <row r="250">
      <c r="A250" s="58"/>
    </row>
    <row r="251">
      <c r="A251" s="58"/>
    </row>
    <row r="252">
      <c r="A252" s="58"/>
    </row>
    <row r="253">
      <c r="A253" s="58"/>
    </row>
    <row r="254">
      <c r="A254" s="58"/>
    </row>
    <row r="255">
      <c r="A255" s="58"/>
    </row>
    <row r="256">
      <c r="A256" s="58"/>
    </row>
    <row r="257">
      <c r="A257" s="58"/>
    </row>
    <row r="258">
      <c r="A258" s="58"/>
    </row>
    <row r="259">
      <c r="A259" s="58"/>
    </row>
    <row r="260">
      <c r="A260" s="58"/>
    </row>
    <row r="261">
      <c r="A261" s="58"/>
    </row>
    <row r="262">
      <c r="A262" s="58"/>
    </row>
    <row r="263">
      <c r="A263" s="58"/>
    </row>
    <row r="264">
      <c r="A264" s="58"/>
    </row>
    <row r="265">
      <c r="A265" s="58"/>
    </row>
    <row r="266">
      <c r="A266" s="58"/>
    </row>
    <row r="267">
      <c r="A267" s="58"/>
    </row>
    <row r="268">
      <c r="A268" s="58"/>
    </row>
    <row r="269">
      <c r="A269" s="58"/>
    </row>
    <row r="270">
      <c r="A270" s="58"/>
    </row>
    <row r="271">
      <c r="A271" s="58"/>
    </row>
    <row r="272">
      <c r="A272" s="58"/>
    </row>
    <row r="273">
      <c r="A273" s="58"/>
    </row>
    <row r="274">
      <c r="A274" s="58"/>
    </row>
    <row r="275">
      <c r="A275" s="58"/>
    </row>
    <row r="276">
      <c r="A276" s="58"/>
    </row>
    <row r="277">
      <c r="A277" s="58"/>
    </row>
    <row r="278">
      <c r="A278" s="58"/>
    </row>
    <row r="279">
      <c r="A279" s="58"/>
    </row>
    <row r="280">
      <c r="A280" s="58"/>
    </row>
    <row r="281">
      <c r="A281" s="58"/>
    </row>
    <row r="282">
      <c r="A282" s="58"/>
    </row>
    <row r="283">
      <c r="A283" s="58"/>
    </row>
    <row r="284">
      <c r="A284" s="58"/>
    </row>
    <row r="285">
      <c r="A285" s="58"/>
    </row>
    <row r="286">
      <c r="A286" s="58"/>
    </row>
    <row r="287">
      <c r="A287" s="58"/>
    </row>
    <row r="288">
      <c r="A288" s="58"/>
    </row>
    <row r="289">
      <c r="A289" s="58"/>
    </row>
    <row r="290">
      <c r="A290" s="58"/>
    </row>
    <row r="291">
      <c r="A291" s="58"/>
    </row>
    <row r="292">
      <c r="A292" s="58"/>
    </row>
    <row r="293">
      <c r="A293" s="58"/>
    </row>
    <row r="294">
      <c r="A294" s="58"/>
    </row>
    <row r="295">
      <c r="A295" s="58"/>
    </row>
    <row r="296">
      <c r="A296" s="58"/>
    </row>
    <row r="297">
      <c r="A297" s="58"/>
    </row>
    <row r="298">
      <c r="A298" s="58"/>
    </row>
    <row r="299">
      <c r="A299" s="58"/>
    </row>
    <row r="300">
      <c r="A300" s="58"/>
    </row>
    <row r="301">
      <c r="A301" s="58"/>
    </row>
    <row r="302">
      <c r="A302" s="58"/>
    </row>
    <row r="303">
      <c r="A303" s="58"/>
    </row>
    <row r="304">
      <c r="A304" s="58"/>
    </row>
    <row r="305">
      <c r="A305" s="58"/>
    </row>
    <row r="306">
      <c r="A306" s="58"/>
    </row>
    <row r="307">
      <c r="A307" s="58"/>
    </row>
    <row r="308">
      <c r="A308" s="58"/>
    </row>
    <row r="309">
      <c r="A309" s="58"/>
    </row>
    <row r="310">
      <c r="A310" s="58"/>
    </row>
    <row r="311">
      <c r="A311" s="58"/>
    </row>
    <row r="312">
      <c r="A312" s="58"/>
    </row>
    <row r="313">
      <c r="A313" s="58"/>
    </row>
    <row r="314">
      <c r="A314" s="58"/>
    </row>
    <row r="315">
      <c r="A315" s="58"/>
    </row>
    <row r="316">
      <c r="A316" s="58"/>
    </row>
    <row r="317">
      <c r="A317" s="58"/>
    </row>
    <row r="318">
      <c r="A318" s="58"/>
    </row>
    <row r="319">
      <c r="A319" s="58"/>
    </row>
    <row r="320">
      <c r="A320" s="58"/>
    </row>
    <row r="321">
      <c r="A321" s="58"/>
    </row>
    <row r="322">
      <c r="A322" s="58"/>
    </row>
    <row r="323">
      <c r="A323" s="58"/>
    </row>
    <row r="324">
      <c r="A324" s="58"/>
    </row>
    <row r="325">
      <c r="A325" s="58"/>
    </row>
    <row r="326">
      <c r="A326" s="58"/>
    </row>
    <row r="327">
      <c r="A327" s="58"/>
    </row>
    <row r="328">
      <c r="A328" s="58"/>
    </row>
    <row r="329">
      <c r="A329" s="58"/>
    </row>
    <row r="330">
      <c r="A330" s="58"/>
    </row>
    <row r="331">
      <c r="A331" s="58"/>
    </row>
    <row r="332">
      <c r="A332" s="58"/>
    </row>
    <row r="333">
      <c r="A333" s="58"/>
    </row>
    <row r="334">
      <c r="A334" s="58"/>
    </row>
    <row r="335">
      <c r="A335" s="58"/>
    </row>
    <row r="336">
      <c r="A336" s="58"/>
    </row>
    <row r="337">
      <c r="A337" s="58"/>
    </row>
    <row r="338">
      <c r="A338" s="58"/>
    </row>
    <row r="339">
      <c r="A339" s="58"/>
    </row>
    <row r="340">
      <c r="A340" s="58"/>
    </row>
    <row r="341">
      <c r="A341" s="58"/>
    </row>
    <row r="342">
      <c r="A342" s="58"/>
    </row>
    <row r="343">
      <c r="A343" s="58"/>
    </row>
    <row r="344">
      <c r="A344" s="58"/>
    </row>
    <row r="345">
      <c r="A345" s="58"/>
    </row>
    <row r="346">
      <c r="A346" s="58"/>
    </row>
    <row r="347">
      <c r="A347" s="58"/>
    </row>
    <row r="348">
      <c r="A348" s="58"/>
    </row>
    <row r="349">
      <c r="A349" s="58"/>
    </row>
    <row r="350">
      <c r="A350" s="58"/>
    </row>
    <row r="351">
      <c r="A351" s="58"/>
    </row>
    <row r="352">
      <c r="A352" s="58"/>
    </row>
    <row r="353">
      <c r="A353" s="58"/>
    </row>
    <row r="354">
      <c r="A354" s="58"/>
    </row>
    <row r="355">
      <c r="A355" s="58"/>
    </row>
    <row r="356">
      <c r="A356" s="58"/>
    </row>
    <row r="357">
      <c r="A357" s="58"/>
    </row>
    <row r="358">
      <c r="A358" s="58"/>
    </row>
    <row r="359">
      <c r="A359" s="58"/>
    </row>
    <row r="360">
      <c r="A360" s="58"/>
    </row>
    <row r="361">
      <c r="A361" s="58"/>
    </row>
    <row r="362">
      <c r="A362" s="58"/>
    </row>
    <row r="363">
      <c r="A363" s="58"/>
    </row>
    <row r="364">
      <c r="A364" s="58"/>
    </row>
    <row r="365">
      <c r="A365" s="58"/>
    </row>
    <row r="366">
      <c r="A366" s="58"/>
    </row>
    <row r="367">
      <c r="A367" s="58"/>
    </row>
    <row r="368">
      <c r="A368" s="58"/>
    </row>
    <row r="369">
      <c r="A369" s="58"/>
    </row>
    <row r="370">
      <c r="A370" s="58"/>
    </row>
    <row r="371">
      <c r="A371" s="58"/>
    </row>
    <row r="372">
      <c r="A372" s="58"/>
    </row>
    <row r="373">
      <c r="A373" s="58"/>
    </row>
    <row r="374">
      <c r="A374" s="58"/>
    </row>
    <row r="375">
      <c r="A375" s="58"/>
    </row>
    <row r="376">
      <c r="A376" s="58"/>
    </row>
    <row r="377">
      <c r="A377" s="58"/>
    </row>
    <row r="378">
      <c r="A378" s="58"/>
    </row>
    <row r="379">
      <c r="A379" s="58"/>
    </row>
    <row r="380">
      <c r="A380" s="58"/>
    </row>
    <row r="381">
      <c r="A381" s="58"/>
    </row>
    <row r="382">
      <c r="A382" s="58"/>
    </row>
    <row r="383">
      <c r="A383" s="58"/>
    </row>
    <row r="384">
      <c r="A384" s="58"/>
    </row>
    <row r="385">
      <c r="A385" s="58"/>
    </row>
    <row r="386">
      <c r="A386" s="58"/>
    </row>
    <row r="387">
      <c r="A387" s="58"/>
    </row>
    <row r="388">
      <c r="A388" s="58"/>
    </row>
    <row r="389">
      <c r="A389" s="58"/>
    </row>
    <row r="390">
      <c r="A390" s="58"/>
    </row>
    <row r="391">
      <c r="A391" s="58"/>
    </row>
    <row r="392">
      <c r="A392" s="58"/>
    </row>
    <row r="393">
      <c r="A393" s="58"/>
    </row>
    <row r="394">
      <c r="A394" s="58"/>
    </row>
    <row r="395">
      <c r="A395" s="58"/>
    </row>
    <row r="396">
      <c r="A396" s="58"/>
    </row>
    <row r="397">
      <c r="A397" s="58"/>
    </row>
    <row r="398">
      <c r="A398" s="58"/>
    </row>
    <row r="399">
      <c r="A399" s="58"/>
    </row>
    <row r="400">
      <c r="A400" s="58"/>
    </row>
    <row r="401">
      <c r="A401" s="58"/>
    </row>
    <row r="402">
      <c r="A402" s="58"/>
    </row>
    <row r="403">
      <c r="A403" s="58"/>
    </row>
    <row r="404">
      <c r="A404" s="58"/>
    </row>
    <row r="405">
      <c r="A405" s="58"/>
    </row>
    <row r="406">
      <c r="A406" s="58"/>
    </row>
    <row r="407">
      <c r="A407" s="58"/>
    </row>
    <row r="408">
      <c r="A408" s="58"/>
    </row>
    <row r="409">
      <c r="A409" s="58"/>
    </row>
    <row r="410">
      <c r="A410" s="58"/>
    </row>
    <row r="411">
      <c r="A411" s="58"/>
    </row>
    <row r="412">
      <c r="A412" s="58"/>
    </row>
    <row r="413">
      <c r="A413" s="58"/>
    </row>
    <row r="414">
      <c r="A414" s="58"/>
    </row>
    <row r="415">
      <c r="A415" s="58"/>
    </row>
    <row r="416">
      <c r="A416" s="58"/>
    </row>
    <row r="417">
      <c r="A417" s="58"/>
    </row>
    <row r="418">
      <c r="A418" s="58"/>
    </row>
    <row r="419">
      <c r="A419" s="58"/>
    </row>
    <row r="420">
      <c r="A420" s="58"/>
    </row>
    <row r="421">
      <c r="A421" s="58"/>
    </row>
    <row r="422">
      <c r="A422" s="58"/>
    </row>
    <row r="423">
      <c r="A423" s="58"/>
    </row>
    <row r="424">
      <c r="A424" s="58"/>
    </row>
    <row r="425">
      <c r="A425" s="58"/>
    </row>
    <row r="426">
      <c r="A426" s="58"/>
    </row>
    <row r="427">
      <c r="A427" s="58"/>
    </row>
    <row r="428">
      <c r="A428" s="58"/>
    </row>
    <row r="429">
      <c r="A429" s="58"/>
    </row>
    <row r="430">
      <c r="A430" s="58"/>
    </row>
    <row r="431">
      <c r="A431" s="58"/>
    </row>
    <row r="432">
      <c r="A432" s="58"/>
    </row>
    <row r="433">
      <c r="A433" s="58"/>
    </row>
    <row r="434">
      <c r="A434" s="58"/>
    </row>
    <row r="435">
      <c r="A435" s="58"/>
    </row>
    <row r="436">
      <c r="A436" s="58"/>
    </row>
    <row r="437">
      <c r="A437" s="58"/>
    </row>
    <row r="438">
      <c r="A438" s="58"/>
    </row>
    <row r="439">
      <c r="A439" s="58"/>
    </row>
    <row r="440">
      <c r="A440" s="58"/>
    </row>
    <row r="441">
      <c r="A441" s="58"/>
    </row>
    <row r="442">
      <c r="A442" s="58"/>
    </row>
    <row r="443">
      <c r="A443" s="58"/>
    </row>
    <row r="444">
      <c r="A444" s="58"/>
    </row>
    <row r="445">
      <c r="A445" s="58"/>
    </row>
    <row r="446">
      <c r="A446" s="58"/>
    </row>
    <row r="447">
      <c r="A447" s="58"/>
    </row>
    <row r="448">
      <c r="A448" s="58"/>
    </row>
    <row r="449">
      <c r="A449" s="58"/>
    </row>
    <row r="450">
      <c r="A450" s="58"/>
    </row>
    <row r="451">
      <c r="A451" s="58"/>
    </row>
    <row r="452">
      <c r="A452" s="58"/>
    </row>
    <row r="453">
      <c r="A453" s="58"/>
    </row>
    <row r="454">
      <c r="A454" s="58"/>
    </row>
    <row r="455">
      <c r="A455" s="58"/>
    </row>
    <row r="456">
      <c r="A456" s="58"/>
    </row>
    <row r="457">
      <c r="A457" s="58"/>
    </row>
    <row r="458">
      <c r="A458" s="58"/>
    </row>
    <row r="459">
      <c r="A459" s="58"/>
    </row>
    <row r="460">
      <c r="A460" s="58"/>
    </row>
    <row r="461">
      <c r="A461" s="58"/>
    </row>
    <row r="462">
      <c r="A462" s="58"/>
    </row>
    <row r="463">
      <c r="A463" s="58"/>
    </row>
    <row r="464">
      <c r="A464" s="58"/>
    </row>
    <row r="465">
      <c r="A465" s="58"/>
    </row>
    <row r="466">
      <c r="A466" s="58"/>
    </row>
    <row r="467">
      <c r="A467" s="58"/>
    </row>
    <row r="468">
      <c r="A468" s="58"/>
    </row>
    <row r="469">
      <c r="A469" s="58"/>
    </row>
    <row r="470">
      <c r="A470" s="58"/>
    </row>
    <row r="471">
      <c r="A471" s="58"/>
    </row>
    <row r="472">
      <c r="A472" s="58"/>
    </row>
    <row r="473">
      <c r="A473" s="58"/>
    </row>
    <row r="474">
      <c r="A474" s="58"/>
    </row>
    <row r="475">
      <c r="A475" s="58"/>
    </row>
    <row r="476">
      <c r="A476" s="58"/>
    </row>
    <row r="477">
      <c r="A477" s="58"/>
    </row>
    <row r="478">
      <c r="A478" s="58"/>
    </row>
    <row r="479">
      <c r="A479" s="58"/>
    </row>
    <row r="480">
      <c r="A480" s="58"/>
    </row>
    <row r="481">
      <c r="A481" s="58"/>
    </row>
    <row r="482">
      <c r="A482" s="58"/>
    </row>
    <row r="483">
      <c r="A483" s="58"/>
    </row>
    <row r="484">
      <c r="A484" s="58"/>
    </row>
    <row r="485">
      <c r="A485" s="58"/>
    </row>
    <row r="486">
      <c r="A486" s="58"/>
    </row>
    <row r="487">
      <c r="A487" s="58"/>
    </row>
    <row r="488">
      <c r="A488" s="58"/>
    </row>
    <row r="489">
      <c r="A489" s="58"/>
    </row>
    <row r="490">
      <c r="A490" s="58"/>
    </row>
    <row r="491">
      <c r="A491" s="58"/>
    </row>
    <row r="492">
      <c r="A492" s="58"/>
    </row>
    <row r="493">
      <c r="A493" s="58"/>
    </row>
    <row r="494">
      <c r="A494" s="58"/>
    </row>
    <row r="495">
      <c r="A495" s="58"/>
    </row>
    <row r="496">
      <c r="A496" s="58"/>
    </row>
    <row r="497">
      <c r="A497" s="58"/>
    </row>
    <row r="498">
      <c r="A498" s="58"/>
    </row>
    <row r="499">
      <c r="A499" s="58"/>
    </row>
    <row r="500">
      <c r="A500" s="58"/>
    </row>
    <row r="501">
      <c r="A501" s="58"/>
    </row>
    <row r="502">
      <c r="A502" s="58"/>
    </row>
    <row r="503">
      <c r="A503" s="58"/>
    </row>
    <row r="504">
      <c r="A504" s="58"/>
    </row>
    <row r="505">
      <c r="A505" s="58"/>
    </row>
    <row r="506">
      <c r="A506" s="58"/>
    </row>
    <row r="507">
      <c r="A507" s="58"/>
    </row>
    <row r="508">
      <c r="A508" s="58"/>
    </row>
    <row r="509">
      <c r="A509" s="58"/>
    </row>
    <row r="510">
      <c r="A510" s="58"/>
    </row>
    <row r="511">
      <c r="A511" s="58"/>
    </row>
    <row r="512">
      <c r="A512" s="58"/>
    </row>
    <row r="513">
      <c r="A513" s="58"/>
    </row>
    <row r="514">
      <c r="A514" s="58"/>
    </row>
    <row r="515">
      <c r="A515" s="58"/>
    </row>
    <row r="516">
      <c r="A516" s="58"/>
    </row>
    <row r="517">
      <c r="A517" s="58"/>
    </row>
    <row r="518">
      <c r="A518" s="58"/>
    </row>
    <row r="519">
      <c r="A519" s="58"/>
    </row>
    <row r="520">
      <c r="A520" s="58"/>
    </row>
    <row r="521">
      <c r="A521" s="58"/>
    </row>
    <row r="522">
      <c r="A522" s="58"/>
    </row>
    <row r="523">
      <c r="A523" s="58"/>
    </row>
    <row r="524">
      <c r="A524" s="58"/>
    </row>
    <row r="525">
      <c r="A525" s="58"/>
    </row>
    <row r="526">
      <c r="A526" s="58"/>
    </row>
    <row r="527">
      <c r="A527" s="58"/>
    </row>
    <row r="528">
      <c r="A528" s="58"/>
    </row>
    <row r="529">
      <c r="A529" s="58"/>
    </row>
    <row r="530">
      <c r="A530" s="58"/>
    </row>
    <row r="531">
      <c r="A531" s="58"/>
    </row>
    <row r="532">
      <c r="A532" s="58"/>
    </row>
    <row r="533">
      <c r="A533" s="58"/>
    </row>
    <row r="534">
      <c r="A534" s="58"/>
    </row>
    <row r="535">
      <c r="A535" s="58"/>
    </row>
    <row r="536">
      <c r="A536" s="58"/>
    </row>
    <row r="537">
      <c r="A537" s="58"/>
    </row>
    <row r="538">
      <c r="A538" s="58"/>
    </row>
    <row r="539">
      <c r="A539" s="58"/>
    </row>
    <row r="540">
      <c r="A540" s="58"/>
    </row>
    <row r="541">
      <c r="A541" s="58"/>
    </row>
    <row r="542">
      <c r="A542" s="58"/>
    </row>
    <row r="543">
      <c r="A543" s="58"/>
    </row>
    <row r="544">
      <c r="A544" s="58"/>
    </row>
    <row r="545">
      <c r="A545" s="58"/>
    </row>
    <row r="546">
      <c r="A546" s="58"/>
    </row>
    <row r="547">
      <c r="A547" s="58"/>
    </row>
    <row r="548">
      <c r="A548" s="58"/>
    </row>
    <row r="549">
      <c r="A549" s="58"/>
    </row>
    <row r="550">
      <c r="A550" s="58"/>
    </row>
    <row r="551">
      <c r="A551" s="58"/>
    </row>
    <row r="552">
      <c r="A552" s="58"/>
    </row>
    <row r="553">
      <c r="A553" s="58"/>
    </row>
    <row r="554">
      <c r="A554" s="58"/>
    </row>
    <row r="555">
      <c r="A555" s="58"/>
    </row>
    <row r="556">
      <c r="A556" s="58"/>
    </row>
    <row r="557">
      <c r="A557" s="58"/>
    </row>
    <row r="558">
      <c r="A558" s="58"/>
    </row>
    <row r="559">
      <c r="A559" s="58"/>
    </row>
    <row r="560">
      <c r="A560" s="58"/>
    </row>
    <row r="561">
      <c r="A561" s="58"/>
    </row>
    <row r="562">
      <c r="A562" s="58"/>
    </row>
    <row r="563">
      <c r="A563" s="58"/>
    </row>
    <row r="564">
      <c r="A564" s="58"/>
    </row>
    <row r="565">
      <c r="A565" s="58"/>
    </row>
    <row r="566">
      <c r="A566" s="58"/>
    </row>
    <row r="567">
      <c r="A567" s="58"/>
    </row>
    <row r="568">
      <c r="A568" s="58"/>
    </row>
    <row r="569">
      <c r="A569" s="58"/>
    </row>
    <row r="570">
      <c r="A570" s="58"/>
    </row>
    <row r="571">
      <c r="A571" s="58"/>
    </row>
    <row r="572">
      <c r="A572" s="58"/>
    </row>
    <row r="573">
      <c r="A573" s="58"/>
    </row>
    <row r="574">
      <c r="A574" s="58"/>
    </row>
    <row r="575">
      <c r="A575" s="58"/>
    </row>
    <row r="576">
      <c r="A576" s="58"/>
    </row>
    <row r="577">
      <c r="A577" s="58"/>
    </row>
    <row r="578">
      <c r="A578" s="58"/>
    </row>
    <row r="579">
      <c r="A579" s="58"/>
    </row>
    <row r="580">
      <c r="A580" s="58"/>
    </row>
    <row r="581">
      <c r="A581" s="58"/>
    </row>
    <row r="582">
      <c r="A582" s="58"/>
    </row>
    <row r="583">
      <c r="A583" s="58"/>
    </row>
    <row r="584">
      <c r="A584" s="58"/>
    </row>
    <row r="585">
      <c r="A585" s="58"/>
    </row>
    <row r="586">
      <c r="A586" s="58"/>
    </row>
    <row r="587">
      <c r="A587" s="58"/>
    </row>
    <row r="588">
      <c r="A588" s="58"/>
    </row>
    <row r="589">
      <c r="A589" s="58"/>
    </row>
    <row r="590">
      <c r="A590" s="58"/>
    </row>
    <row r="591">
      <c r="A591" s="58"/>
    </row>
    <row r="592">
      <c r="A592" s="58"/>
    </row>
    <row r="593">
      <c r="A593" s="58"/>
    </row>
    <row r="594">
      <c r="A594" s="58"/>
    </row>
    <row r="595">
      <c r="A595" s="58"/>
    </row>
    <row r="596">
      <c r="A596" s="58"/>
    </row>
    <row r="597">
      <c r="A597" s="58"/>
    </row>
    <row r="598">
      <c r="A598" s="58"/>
    </row>
    <row r="599">
      <c r="A599" s="58"/>
    </row>
    <row r="600">
      <c r="A600" s="58"/>
    </row>
    <row r="601">
      <c r="A601" s="58"/>
    </row>
    <row r="602">
      <c r="A602" s="58"/>
    </row>
    <row r="603">
      <c r="A603" s="58"/>
    </row>
    <row r="604">
      <c r="A604" s="58"/>
    </row>
    <row r="605">
      <c r="A605" s="58"/>
    </row>
    <row r="606">
      <c r="A606" s="58"/>
    </row>
    <row r="607">
      <c r="A607" s="58"/>
    </row>
    <row r="608">
      <c r="A608" s="58"/>
    </row>
    <row r="609">
      <c r="A609" s="58"/>
    </row>
    <row r="610">
      <c r="A610" s="58"/>
    </row>
    <row r="611">
      <c r="A611" s="58"/>
    </row>
    <row r="612">
      <c r="A612" s="58"/>
    </row>
    <row r="613">
      <c r="A613" s="58"/>
    </row>
    <row r="614">
      <c r="A614" s="58"/>
    </row>
    <row r="615">
      <c r="A615" s="58"/>
    </row>
    <row r="616">
      <c r="A616" s="58"/>
    </row>
    <row r="617">
      <c r="A617" s="58"/>
    </row>
    <row r="618">
      <c r="A618" s="58"/>
    </row>
    <row r="619">
      <c r="A619" s="58"/>
    </row>
    <row r="620">
      <c r="A620" s="58"/>
    </row>
    <row r="621">
      <c r="A621" s="58"/>
    </row>
    <row r="622">
      <c r="A622" s="58"/>
    </row>
    <row r="623">
      <c r="A623" s="58"/>
    </row>
    <row r="624">
      <c r="A624" s="58"/>
    </row>
    <row r="625">
      <c r="A625" s="58"/>
    </row>
    <row r="626">
      <c r="A626" s="58"/>
    </row>
    <row r="627">
      <c r="A627" s="58"/>
    </row>
    <row r="628">
      <c r="A628" s="58"/>
    </row>
    <row r="629">
      <c r="A629" s="58"/>
    </row>
    <row r="630">
      <c r="A630" s="58"/>
    </row>
    <row r="631">
      <c r="A631" s="58"/>
    </row>
    <row r="632">
      <c r="A632" s="58"/>
    </row>
    <row r="633">
      <c r="A633" s="58"/>
    </row>
    <row r="634">
      <c r="A634" s="58"/>
    </row>
    <row r="635">
      <c r="A635" s="58"/>
    </row>
    <row r="636">
      <c r="A636" s="58"/>
    </row>
    <row r="637">
      <c r="A637" s="58"/>
    </row>
    <row r="638">
      <c r="A638" s="58"/>
    </row>
    <row r="639">
      <c r="A639" s="58"/>
    </row>
    <row r="640">
      <c r="A640" s="58"/>
    </row>
    <row r="641">
      <c r="A641" s="58"/>
    </row>
    <row r="642">
      <c r="A642" s="58"/>
    </row>
    <row r="643">
      <c r="A643" s="58"/>
    </row>
    <row r="644">
      <c r="A644" s="58"/>
    </row>
    <row r="645">
      <c r="A645" s="58"/>
    </row>
    <row r="646">
      <c r="A646" s="58"/>
    </row>
    <row r="647">
      <c r="A647" s="58"/>
    </row>
    <row r="648">
      <c r="A648" s="58"/>
    </row>
    <row r="649">
      <c r="A649" s="58"/>
    </row>
    <row r="650">
      <c r="A650" s="58"/>
    </row>
    <row r="651">
      <c r="A651" s="58"/>
    </row>
    <row r="652">
      <c r="A652" s="58"/>
    </row>
    <row r="653">
      <c r="A653" s="58"/>
    </row>
    <row r="654">
      <c r="A654" s="58"/>
    </row>
    <row r="655">
      <c r="A655" s="58"/>
    </row>
    <row r="656">
      <c r="A656" s="58"/>
    </row>
    <row r="657">
      <c r="A657" s="58"/>
    </row>
    <row r="658">
      <c r="A658" s="58"/>
    </row>
    <row r="659">
      <c r="A659" s="58"/>
    </row>
    <row r="660">
      <c r="A660" s="58"/>
    </row>
    <row r="661">
      <c r="A661" s="58"/>
    </row>
    <row r="662">
      <c r="A662" s="58"/>
    </row>
    <row r="663">
      <c r="A663" s="58"/>
    </row>
    <row r="664">
      <c r="A664" s="58"/>
    </row>
    <row r="665">
      <c r="A665" s="58"/>
    </row>
    <row r="666">
      <c r="A666" s="58"/>
    </row>
    <row r="667">
      <c r="A667" s="58"/>
    </row>
    <row r="668">
      <c r="A668" s="58"/>
    </row>
    <row r="669">
      <c r="A669" s="58"/>
    </row>
    <row r="670">
      <c r="A670" s="58"/>
    </row>
    <row r="671">
      <c r="A671" s="58"/>
    </row>
    <row r="672">
      <c r="A672" s="58"/>
    </row>
    <row r="673">
      <c r="A673" s="58"/>
    </row>
    <row r="674">
      <c r="A674" s="58"/>
    </row>
    <row r="675">
      <c r="A675" s="58"/>
    </row>
    <row r="676">
      <c r="A676" s="58"/>
    </row>
    <row r="677">
      <c r="A677" s="58"/>
    </row>
    <row r="678">
      <c r="A678" s="58"/>
    </row>
    <row r="679">
      <c r="A679" s="58"/>
    </row>
    <row r="680">
      <c r="A680" s="58"/>
    </row>
    <row r="681">
      <c r="A681" s="58"/>
    </row>
    <row r="682">
      <c r="A682" s="58"/>
    </row>
    <row r="683">
      <c r="A683" s="58"/>
    </row>
    <row r="684">
      <c r="A684" s="58"/>
    </row>
    <row r="685">
      <c r="A685" s="58"/>
    </row>
    <row r="686">
      <c r="A686" s="58"/>
    </row>
    <row r="687">
      <c r="A687" s="58"/>
    </row>
    <row r="688">
      <c r="A688" s="58"/>
    </row>
    <row r="689">
      <c r="A689" s="58"/>
    </row>
    <row r="690">
      <c r="A690" s="58"/>
    </row>
    <row r="691">
      <c r="A691" s="58"/>
    </row>
    <row r="692">
      <c r="A692" s="58"/>
    </row>
    <row r="693">
      <c r="A693" s="58"/>
    </row>
    <row r="694">
      <c r="A694" s="58"/>
    </row>
    <row r="695">
      <c r="A695" s="58"/>
    </row>
    <row r="696">
      <c r="A696" s="58"/>
    </row>
    <row r="697">
      <c r="A697" s="58"/>
    </row>
    <row r="698">
      <c r="A698" s="58"/>
    </row>
    <row r="699">
      <c r="A699" s="58"/>
    </row>
    <row r="700">
      <c r="A700" s="58"/>
    </row>
    <row r="701">
      <c r="A701" s="58"/>
    </row>
    <row r="702">
      <c r="A702" s="58"/>
    </row>
    <row r="703">
      <c r="A703" s="58"/>
    </row>
    <row r="704">
      <c r="A704" s="58"/>
    </row>
    <row r="705">
      <c r="A705" s="58"/>
    </row>
    <row r="706">
      <c r="A706" s="58"/>
    </row>
    <row r="707">
      <c r="A707" s="58"/>
    </row>
    <row r="708">
      <c r="A708" s="58"/>
    </row>
    <row r="709">
      <c r="A709" s="58"/>
    </row>
    <row r="710">
      <c r="A710" s="58"/>
    </row>
    <row r="711">
      <c r="A711" s="58"/>
    </row>
    <row r="712">
      <c r="A712" s="58"/>
    </row>
    <row r="713">
      <c r="A713" s="58"/>
    </row>
    <row r="714">
      <c r="A714" s="58"/>
    </row>
    <row r="715">
      <c r="A715" s="58"/>
    </row>
    <row r="716">
      <c r="A716" s="58"/>
    </row>
    <row r="717">
      <c r="A717" s="58"/>
    </row>
    <row r="718">
      <c r="A718" s="58"/>
    </row>
    <row r="719">
      <c r="A719" s="58"/>
    </row>
    <row r="720">
      <c r="A720" s="58"/>
    </row>
    <row r="721">
      <c r="A721" s="58"/>
    </row>
    <row r="722">
      <c r="A722" s="58"/>
    </row>
    <row r="723">
      <c r="A723" s="58"/>
    </row>
    <row r="724">
      <c r="A724" s="58"/>
    </row>
    <row r="725">
      <c r="A725" s="58"/>
    </row>
    <row r="726">
      <c r="A726" s="58"/>
    </row>
    <row r="727">
      <c r="A727" s="58"/>
    </row>
    <row r="728">
      <c r="A728" s="58"/>
    </row>
    <row r="729">
      <c r="A729" s="58"/>
    </row>
    <row r="730">
      <c r="A730" s="58"/>
    </row>
    <row r="731">
      <c r="A731" s="58"/>
    </row>
    <row r="732">
      <c r="A732" s="58"/>
    </row>
    <row r="733">
      <c r="A733" s="58"/>
    </row>
    <row r="734">
      <c r="A734" s="58"/>
    </row>
    <row r="735">
      <c r="A735" s="58"/>
    </row>
    <row r="736">
      <c r="A736" s="58"/>
    </row>
    <row r="737">
      <c r="A737" s="58"/>
    </row>
    <row r="738">
      <c r="A738" s="58"/>
    </row>
    <row r="739">
      <c r="A739" s="58"/>
    </row>
    <row r="740">
      <c r="A740" s="58"/>
    </row>
    <row r="741">
      <c r="A741" s="58"/>
    </row>
    <row r="742">
      <c r="A742" s="58"/>
    </row>
    <row r="743">
      <c r="A743" s="58"/>
    </row>
    <row r="744">
      <c r="A744" s="58"/>
    </row>
    <row r="745">
      <c r="A745" s="58"/>
    </row>
    <row r="746">
      <c r="A746" s="58"/>
    </row>
    <row r="747">
      <c r="A747" s="58"/>
    </row>
    <row r="748">
      <c r="A748" s="58"/>
    </row>
    <row r="749">
      <c r="A749" s="58"/>
    </row>
    <row r="750">
      <c r="A750" s="58"/>
    </row>
    <row r="751">
      <c r="A751" s="58"/>
    </row>
    <row r="752">
      <c r="A752" s="58"/>
    </row>
    <row r="753">
      <c r="A753" s="58"/>
    </row>
    <row r="754">
      <c r="A754" s="58"/>
    </row>
    <row r="755">
      <c r="A755" s="58"/>
    </row>
    <row r="756">
      <c r="A756" s="58"/>
    </row>
    <row r="757">
      <c r="A757" s="58"/>
    </row>
    <row r="758">
      <c r="A758" s="58"/>
    </row>
    <row r="759">
      <c r="A759" s="58"/>
    </row>
    <row r="760">
      <c r="A760" s="58"/>
    </row>
    <row r="761">
      <c r="A761" s="58"/>
    </row>
    <row r="762">
      <c r="A762" s="58"/>
    </row>
    <row r="763">
      <c r="A763" s="58"/>
    </row>
    <row r="764">
      <c r="A764" s="58"/>
    </row>
    <row r="765">
      <c r="A765" s="58"/>
    </row>
    <row r="766">
      <c r="A766" s="58"/>
    </row>
    <row r="767">
      <c r="A767" s="58"/>
    </row>
    <row r="768">
      <c r="A768" s="58"/>
    </row>
    <row r="769">
      <c r="A769" s="58"/>
    </row>
    <row r="770">
      <c r="A770" s="58"/>
    </row>
    <row r="771">
      <c r="A771" s="58"/>
    </row>
    <row r="772">
      <c r="A772" s="58"/>
    </row>
    <row r="773">
      <c r="A773" s="58"/>
    </row>
    <row r="774">
      <c r="A774" s="58"/>
    </row>
    <row r="775">
      <c r="A775" s="58"/>
    </row>
    <row r="776">
      <c r="A776" s="58"/>
    </row>
    <row r="777">
      <c r="A777" s="58"/>
    </row>
    <row r="778">
      <c r="A778" s="58"/>
    </row>
    <row r="779">
      <c r="A779" s="58"/>
    </row>
    <row r="780">
      <c r="A780" s="58"/>
    </row>
    <row r="781">
      <c r="A781" s="58"/>
    </row>
    <row r="782">
      <c r="A782" s="58"/>
    </row>
    <row r="783">
      <c r="A783" s="58"/>
    </row>
    <row r="784">
      <c r="A784" s="58"/>
    </row>
    <row r="785">
      <c r="A785" s="58"/>
    </row>
    <row r="786">
      <c r="A786" s="58"/>
    </row>
    <row r="787">
      <c r="A787" s="58"/>
    </row>
    <row r="788">
      <c r="A788" s="58"/>
    </row>
    <row r="789">
      <c r="A789" s="58"/>
    </row>
    <row r="790">
      <c r="A790" s="58"/>
    </row>
    <row r="791">
      <c r="A791" s="58"/>
    </row>
    <row r="792">
      <c r="A792" s="58"/>
    </row>
    <row r="793">
      <c r="A793" s="58"/>
    </row>
    <row r="794">
      <c r="A794" s="58"/>
    </row>
    <row r="795">
      <c r="A795" s="58"/>
    </row>
    <row r="796">
      <c r="A796" s="58"/>
    </row>
    <row r="797">
      <c r="A797" s="58"/>
    </row>
    <row r="798">
      <c r="A798" s="58"/>
    </row>
    <row r="799">
      <c r="A799" s="58"/>
    </row>
    <row r="800">
      <c r="A800" s="58"/>
    </row>
    <row r="801">
      <c r="A801" s="58"/>
    </row>
    <row r="802">
      <c r="A802" s="58"/>
    </row>
    <row r="803">
      <c r="A803" s="58"/>
    </row>
    <row r="804">
      <c r="A804" s="58"/>
    </row>
    <row r="805">
      <c r="A805" s="58"/>
    </row>
    <row r="806">
      <c r="A806" s="58"/>
    </row>
    <row r="807">
      <c r="A807" s="58"/>
    </row>
    <row r="808">
      <c r="A808" s="58"/>
    </row>
    <row r="809">
      <c r="A809" s="58"/>
    </row>
    <row r="810">
      <c r="A810" s="58"/>
    </row>
    <row r="811">
      <c r="A811" s="58"/>
    </row>
    <row r="812">
      <c r="A812" s="58"/>
    </row>
    <row r="813">
      <c r="A813" s="58"/>
    </row>
    <row r="814">
      <c r="A814" s="58"/>
    </row>
    <row r="815">
      <c r="A815" s="58"/>
    </row>
    <row r="816">
      <c r="A816" s="58"/>
    </row>
    <row r="817">
      <c r="A817" s="58"/>
    </row>
    <row r="818">
      <c r="A818" s="58"/>
    </row>
    <row r="819">
      <c r="A819" s="58"/>
    </row>
    <row r="820">
      <c r="A820" s="58"/>
    </row>
    <row r="821">
      <c r="A821" s="58"/>
    </row>
    <row r="822">
      <c r="A822" s="58"/>
    </row>
    <row r="823">
      <c r="A823" s="58"/>
    </row>
    <row r="824">
      <c r="A824" s="58"/>
    </row>
    <row r="825">
      <c r="A825" s="58"/>
    </row>
    <row r="826">
      <c r="A826" s="58"/>
    </row>
    <row r="827">
      <c r="A827" s="58"/>
    </row>
    <row r="828">
      <c r="A828" s="58"/>
    </row>
    <row r="829">
      <c r="A829" s="58"/>
    </row>
    <row r="830">
      <c r="A830" s="58"/>
    </row>
    <row r="831">
      <c r="A831" s="58"/>
    </row>
    <row r="832">
      <c r="A832" s="58"/>
    </row>
    <row r="833">
      <c r="A833" s="58"/>
    </row>
    <row r="834">
      <c r="A834" s="58"/>
    </row>
    <row r="835">
      <c r="A835" s="58"/>
    </row>
    <row r="836">
      <c r="A836" s="58"/>
    </row>
    <row r="837">
      <c r="A837" s="58"/>
    </row>
    <row r="838">
      <c r="A838" s="58"/>
    </row>
    <row r="839">
      <c r="A839" s="58"/>
    </row>
    <row r="840">
      <c r="A840" s="58"/>
    </row>
    <row r="841">
      <c r="A841" s="58"/>
    </row>
    <row r="842">
      <c r="A842" s="58"/>
    </row>
    <row r="843">
      <c r="A843" s="58"/>
    </row>
    <row r="844">
      <c r="A844" s="58"/>
    </row>
    <row r="845">
      <c r="A845" s="58"/>
    </row>
    <row r="846">
      <c r="A846" s="58"/>
    </row>
    <row r="847">
      <c r="A847" s="58"/>
    </row>
    <row r="848">
      <c r="A848" s="58"/>
    </row>
    <row r="849">
      <c r="A849" s="58"/>
    </row>
    <row r="850">
      <c r="A850" s="58"/>
    </row>
    <row r="851">
      <c r="A851" s="58"/>
    </row>
    <row r="852">
      <c r="A852" s="58"/>
    </row>
    <row r="853">
      <c r="A853" s="58"/>
    </row>
    <row r="854">
      <c r="A854" s="58"/>
    </row>
    <row r="855">
      <c r="A855" s="58"/>
    </row>
    <row r="856">
      <c r="A856" s="58"/>
    </row>
    <row r="857">
      <c r="A857" s="58"/>
    </row>
    <row r="858">
      <c r="A858" s="58"/>
    </row>
    <row r="859">
      <c r="A859" s="58"/>
    </row>
    <row r="860">
      <c r="A860" s="58"/>
    </row>
    <row r="861">
      <c r="A861" s="58"/>
    </row>
    <row r="862">
      <c r="A862" s="58"/>
    </row>
    <row r="863">
      <c r="A863" s="58"/>
    </row>
    <row r="864">
      <c r="A864" s="58"/>
    </row>
    <row r="865">
      <c r="A865" s="58"/>
    </row>
    <row r="866">
      <c r="A866" s="58"/>
    </row>
    <row r="867">
      <c r="A867" s="58"/>
    </row>
    <row r="868">
      <c r="A868" s="58"/>
    </row>
    <row r="869">
      <c r="A869" s="58"/>
    </row>
    <row r="870">
      <c r="A870" s="58"/>
    </row>
    <row r="871">
      <c r="A871" s="58"/>
    </row>
    <row r="872">
      <c r="A872" s="58"/>
    </row>
    <row r="873">
      <c r="A873" s="58"/>
    </row>
    <row r="874">
      <c r="A874" s="58"/>
    </row>
    <row r="875">
      <c r="A875" s="58"/>
    </row>
    <row r="876">
      <c r="A876" s="58"/>
    </row>
    <row r="877">
      <c r="A877" s="58"/>
    </row>
    <row r="878">
      <c r="A878" s="58"/>
    </row>
    <row r="879">
      <c r="A879" s="58"/>
    </row>
    <row r="880">
      <c r="A880" s="58"/>
    </row>
    <row r="881">
      <c r="A881" s="58"/>
    </row>
    <row r="882">
      <c r="A882" s="58"/>
    </row>
    <row r="883">
      <c r="A883" s="58"/>
    </row>
    <row r="884">
      <c r="A884" s="58"/>
    </row>
    <row r="885">
      <c r="A885" s="58"/>
    </row>
    <row r="886">
      <c r="A886" s="58"/>
    </row>
    <row r="887">
      <c r="A887" s="58"/>
    </row>
    <row r="888">
      <c r="A888" s="58"/>
    </row>
    <row r="889">
      <c r="A889" s="58"/>
    </row>
    <row r="890">
      <c r="A890" s="58"/>
    </row>
    <row r="891">
      <c r="A891" s="58"/>
    </row>
    <row r="892">
      <c r="A892" s="58"/>
    </row>
    <row r="893">
      <c r="A893" s="58"/>
    </row>
    <row r="894">
      <c r="A894" s="58"/>
    </row>
    <row r="895">
      <c r="A895" s="58"/>
    </row>
    <row r="896">
      <c r="A896" s="58"/>
    </row>
    <row r="897">
      <c r="A897" s="58"/>
    </row>
    <row r="898">
      <c r="A898" s="58"/>
    </row>
    <row r="899">
      <c r="A899" s="58"/>
    </row>
    <row r="900">
      <c r="A900" s="58"/>
    </row>
    <row r="901">
      <c r="A901" s="58"/>
    </row>
    <row r="902">
      <c r="A902" s="58"/>
    </row>
    <row r="903">
      <c r="A903" s="58"/>
    </row>
    <row r="904">
      <c r="A904" s="58"/>
    </row>
    <row r="905">
      <c r="A905" s="58"/>
    </row>
    <row r="906">
      <c r="A906" s="58"/>
    </row>
    <row r="907">
      <c r="A907" s="58"/>
    </row>
    <row r="908">
      <c r="A908" s="58"/>
    </row>
    <row r="909">
      <c r="A909" s="58"/>
    </row>
    <row r="910">
      <c r="A910" s="58"/>
    </row>
    <row r="911">
      <c r="A911" s="58"/>
    </row>
    <row r="912">
      <c r="A912" s="58"/>
    </row>
    <row r="913">
      <c r="A913" s="58"/>
    </row>
    <row r="914">
      <c r="A914" s="58"/>
    </row>
    <row r="915">
      <c r="A915" s="58"/>
    </row>
    <row r="916">
      <c r="A916" s="58"/>
    </row>
    <row r="917">
      <c r="A917" s="58"/>
    </row>
    <row r="918">
      <c r="A918" s="58"/>
    </row>
    <row r="919">
      <c r="A919" s="58"/>
    </row>
    <row r="920">
      <c r="A920" s="58"/>
    </row>
    <row r="921">
      <c r="A921" s="58"/>
    </row>
    <row r="922">
      <c r="A922" s="58"/>
    </row>
    <row r="923">
      <c r="A923" s="58"/>
    </row>
    <row r="924">
      <c r="A924" s="58"/>
    </row>
    <row r="925">
      <c r="A925" s="58"/>
    </row>
    <row r="926">
      <c r="A926" s="58"/>
    </row>
    <row r="927">
      <c r="A927" s="58"/>
    </row>
    <row r="928">
      <c r="A928" s="58"/>
    </row>
    <row r="929">
      <c r="A929" s="58"/>
    </row>
    <row r="930">
      <c r="A930" s="58"/>
    </row>
    <row r="931">
      <c r="A931" s="58"/>
    </row>
    <row r="932">
      <c r="A932" s="58"/>
    </row>
    <row r="933">
      <c r="A933" s="58"/>
    </row>
    <row r="934">
      <c r="A934" s="58"/>
    </row>
    <row r="935">
      <c r="A935" s="58"/>
    </row>
    <row r="936">
      <c r="A936" s="58"/>
    </row>
    <row r="937">
      <c r="A937" s="58"/>
    </row>
    <row r="938">
      <c r="A938" s="58"/>
    </row>
    <row r="939">
      <c r="A939" s="58"/>
    </row>
    <row r="940">
      <c r="A940" s="58"/>
    </row>
    <row r="941">
      <c r="A941" s="58"/>
    </row>
    <row r="942">
      <c r="A942" s="58"/>
    </row>
    <row r="943">
      <c r="A943" s="58"/>
    </row>
    <row r="944">
      <c r="A944" s="58"/>
    </row>
    <row r="945">
      <c r="A945" s="58"/>
    </row>
    <row r="946">
      <c r="A946" s="58"/>
    </row>
    <row r="947">
      <c r="A947" s="58"/>
    </row>
    <row r="948">
      <c r="A948" s="58"/>
    </row>
    <row r="949">
      <c r="A949" s="58"/>
    </row>
    <row r="950">
      <c r="A950" s="58"/>
    </row>
    <row r="951">
      <c r="A951" s="58"/>
    </row>
    <row r="952">
      <c r="A952" s="58"/>
    </row>
    <row r="953">
      <c r="A953" s="58"/>
    </row>
    <row r="954">
      <c r="A954" s="58"/>
    </row>
    <row r="955">
      <c r="A955" s="58"/>
    </row>
    <row r="956">
      <c r="A956" s="58"/>
    </row>
    <row r="957">
      <c r="A957" s="58"/>
    </row>
    <row r="958">
      <c r="A958" s="58"/>
    </row>
    <row r="959">
      <c r="A959" s="58"/>
    </row>
    <row r="960">
      <c r="A960" s="58"/>
    </row>
    <row r="961">
      <c r="A961" s="58"/>
    </row>
    <row r="962">
      <c r="A962" s="58"/>
    </row>
    <row r="963">
      <c r="A963" s="58"/>
    </row>
    <row r="964">
      <c r="A964" s="58"/>
    </row>
    <row r="965">
      <c r="A965" s="58"/>
    </row>
    <row r="966">
      <c r="A966" s="58"/>
    </row>
    <row r="967">
      <c r="A967" s="58"/>
    </row>
    <row r="968">
      <c r="A968" s="58"/>
    </row>
    <row r="969">
      <c r="A969" s="58"/>
    </row>
    <row r="970">
      <c r="A970" s="58"/>
    </row>
    <row r="971">
      <c r="A971" s="58"/>
    </row>
    <row r="972">
      <c r="A972" s="58"/>
    </row>
    <row r="973">
      <c r="A973" s="58"/>
    </row>
    <row r="974">
      <c r="A974" s="58"/>
    </row>
    <row r="975">
      <c r="A975" s="58"/>
    </row>
    <row r="976">
      <c r="A976" s="58"/>
    </row>
    <row r="977">
      <c r="A977" s="58"/>
    </row>
    <row r="978">
      <c r="A978" s="58"/>
    </row>
    <row r="979">
      <c r="A979" s="58"/>
    </row>
    <row r="980">
      <c r="A980" s="58"/>
    </row>
    <row r="981">
      <c r="A981" s="58"/>
    </row>
    <row r="982">
      <c r="A982" s="58"/>
    </row>
    <row r="983">
      <c r="A983" s="58"/>
    </row>
    <row r="984">
      <c r="A984" s="58"/>
    </row>
    <row r="985">
      <c r="A985" s="58"/>
    </row>
    <row r="986">
      <c r="A986" s="58"/>
    </row>
    <row r="987">
      <c r="A987" s="58"/>
    </row>
    <row r="988">
      <c r="A988" s="58"/>
    </row>
    <row r="989">
      <c r="A989" s="58"/>
    </row>
    <row r="990">
      <c r="A990" s="58"/>
    </row>
    <row r="991">
      <c r="A991" s="58"/>
    </row>
    <row r="992">
      <c r="A992" s="58"/>
    </row>
    <row r="993">
      <c r="A993" s="58"/>
    </row>
    <row r="994">
      <c r="A994" s="58"/>
    </row>
    <row r="995">
      <c r="A995" s="58"/>
    </row>
    <row r="996">
      <c r="A996" s="58"/>
    </row>
    <row r="997">
      <c r="A997" s="58"/>
    </row>
    <row r="998">
      <c r="A998" s="58"/>
    </row>
    <row r="999">
      <c r="A999" s="58"/>
    </row>
    <row r="1000">
      <c r="A1000" s="58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2024-08-29T11:47:32Z</dcterms:created>
  <dc:creator>La Musardière</dc:creator>
</cp:coreProperties>
</file>