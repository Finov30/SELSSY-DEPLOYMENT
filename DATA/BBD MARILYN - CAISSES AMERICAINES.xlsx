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lf/SBWj2YDrEqNli24FGkjYtX1ywLKT7C1nOs/VavN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ID#AAABpsJBsw8
Etienne Faucher    (2025-08-22 13:07:11)
MARILYN (caisse américaine) , n'existe pas avec une vitre ! Ne pas proposer :)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i6Ck8tH+J5nKv0gP20/v+gC+T1kg=="/>
    </ext>
  </extLst>
</comments>
</file>

<file path=xl/sharedStrings.xml><?xml version="1.0" encoding="utf-8"?>
<sst xmlns="http://schemas.openxmlformats.org/spreadsheetml/2006/main" count="507" uniqueCount="107">
  <si>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</si>
  <si>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</si>
  <si>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</si>
  <si>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</si>
  <si>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</si>
  <si>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</si>
  <si>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</si>
  <si>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</si>
  <si>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</si>
  <si>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</si>
  <si>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</si>
  <si>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</si>
  <si>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</si>
  <si>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2026 formule</t>
  </si>
  <si>
    <t>COUT ACHAT  HT 2026</t>
  </si>
  <si>
    <t>TARIF VENTE A 2026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</si>
  <si>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</si>
  <si>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</si>
  <si>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</si>
  <si>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</si>
  <si>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</si>
  <si>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</si>
  <si>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</si>
  <si>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</si>
  <si>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</si>
  <si>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</si>
  <si>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</si>
  <si>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</si>
  <si>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</si>
  <si>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</si>
  <si>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</si>
  <si>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</si>
  <si>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</si>
  <si>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</si>
  <si>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COUT ACHAT  HT 2025 - ARCHIVE</t>
  </si>
  <si>
    <t>COEF AUGMENTATION FOURNISSEUR 2026 (+ 1,5%)</t>
  </si>
  <si>
    <t>2024/2025 attention</t>
  </si>
  <si>
    <t>DESCRIPTION</t>
  </si>
  <si>
    <t>CAISSE EN L (34x39) BLANCHE</t>
  </si>
  <si>
    <t>20*20</t>
  </si>
  <si>
    <t>060819</t>
  </si>
  <si>
    <t>CAISSE EN L</t>
  </si>
  <si>
    <t>CAISSES AMERICAINES</t>
  </si>
  <si>
    <t>MARILYN</t>
  </si>
  <si>
    <t>BLANC</t>
  </si>
  <si>
    <t>PAS DE REHAUSSE</t>
  </si>
  <si>
    <t>PAS DE VITRE</t>
  </si>
  <si>
    <t>Pas de passepartout</t>
  </si>
  <si>
    <t>Dos classique sans chevalet</t>
  </si>
  <si>
    <t>(Largeur bord arrière 39mm Profondeur 35mm Largeur bord visible 10mm)</t>
  </si>
  <si>
    <t>30*30</t>
  </si>
  <si>
    <t>060820</t>
  </si>
  <si>
    <t>40*40</t>
  </si>
  <si>
    <t>060821</t>
  </si>
  <si>
    <t>50*50</t>
  </si>
  <si>
    <t>060822</t>
  </si>
  <si>
    <t>60*60</t>
  </si>
  <si>
    <t>060823</t>
  </si>
  <si>
    <t>70*70</t>
  </si>
  <si>
    <t>060824</t>
  </si>
  <si>
    <t>80*80</t>
  </si>
  <si>
    <t>060825</t>
  </si>
  <si>
    <t>20*40</t>
  </si>
  <si>
    <t>060826</t>
  </si>
  <si>
    <t>30*60</t>
  </si>
  <si>
    <t>060827</t>
  </si>
  <si>
    <t>40*80</t>
  </si>
  <si>
    <t>060828</t>
  </si>
  <si>
    <t>50*100</t>
  </si>
  <si>
    <t>060829</t>
  </si>
  <si>
    <t>CAISSE EN L (34x39) BRUTE</t>
  </si>
  <si>
    <t>060864</t>
  </si>
  <si>
    <t>BRUT</t>
  </si>
  <si>
    <t>060865</t>
  </si>
  <si>
    <t>060866</t>
  </si>
  <si>
    <t>060867</t>
  </si>
  <si>
    <t>060868</t>
  </si>
  <si>
    <t>060869</t>
  </si>
  <si>
    <t>060870</t>
  </si>
  <si>
    <t>060871</t>
  </si>
  <si>
    <t>060872</t>
  </si>
  <si>
    <t>060873</t>
  </si>
  <si>
    <t>060874</t>
  </si>
  <si>
    <t>CAISSE EN L (34x39) NOIRE</t>
  </si>
  <si>
    <t>060774</t>
  </si>
  <si>
    <t>NOIR</t>
  </si>
  <si>
    <t>060775</t>
  </si>
  <si>
    <t>060776</t>
  </si>
  <si>
    <t>060777</t>
  </si>
  <si>
    <t>060778</t>
  </si>
  <si>
    <t>060779</t>
  </si>
  <si>
    <t>060780</t>
  </si>
  <si>
    <t>060781</t>
  </si>
  <si>
    <t>060782</t>
  </si>
  <si>
    <t>060783</t>
  </si>
  <si>
    <t>060784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</si>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</sst>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14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3" fontId="2" numFmtId="2" xfId="0" applyAlignment="1" applyFont="1" applyNumberFormat="1">
      <alignment horizontal="center" shrinkToFit="0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0" fontId="2" numFmtId="2" xfId="0" applyAlignment="1" applyBorder="1" applyFont="1" applyNumberFormat="1">
      <alignment horizontal="center" readingOrder="0" shrinkToFit="0" vertical="center" wrapText="1"/>
    </xf>
    <xf borderId="1" fillId="12" fontId="2" numFmtId="2" xfId="0" applyAlignment="1" applyBorder="1" applyFill="1" applyFont="1" applyNumberFormat="1">
      <alignment horizontal="center" readingOrder="0" shrinkToFit="0" wrapText="1"/>
    </xf>
    <xf borderId="1" fillId="11" fontId="2" numFmtId="164" xfId="0" applyAlignment="1" applyBorder="1" applyFont="1" applyNumberFormat="1">
      <alignment horizontal="center" readingOrder="0" shrinkToFit="0" vertical="center" wrapText="1"/>
    </xf>
    <xf borderId="1" fillId="13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8" fontId="2" numFmtId="2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readingOrder="0" shrinkToFit="0" vertical="center" wrapText="1"/>
    </xf>
    <xf borderId="0" fillId="14" fontId="10" numFmtId="1" xfId="0" applyAlignment="1" applyFill="1" applyFont="1" applyNumberFormat="1">
      <alignment horizontal="center" readingOrder="0" shrinkToFit="0" wrapText="1"/>
    </xf>
    <xf borderId="0" fillId="0" fontId="10" numFmtId="1" xfId="0" applyAlignment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14" fontId="10" numFmtId="1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9" fontId="3" numFmtId="49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5" fillId="10" fontId="10" numFmtId="164" xfId="0" applyAlignment="1" applyBorder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14" fontId="10" numFmtId="2" xfId="0" applyAlignment="1" applyFont="1" applyNumberFormat="1">
      <alignment horizont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0" fillId="14" fontId="10" numFmtId="2" xfId="0" applyAlignment="1" applyFont="1" applyNumberFormat="1">
      <alignment horizontal="center" vertical="center"/>
    </xf>
    <xf borderId="12" fillId="10" fontId="10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shrinkToFit="0" wrapText="1"/>
    </xf>
    <xf borderId="1" fillId="11" fontId="12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vertical="center"/>
    </xf>
    <xf borderId="1" fillId="11" fontId="12" numFmtId="0" xfId="0" applyAlignment="1" applyBorder="1" applyFont="1">
      <alignment vertical="center"/>
    </xf>
    <xf borderId="1" fillId="0" fontId="13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2.44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34" width="14.11"/>
    <col customWidth="1" min="35" max="41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5" t="s">
        <v>1</v>
      </c>
      <c r="M1" s="6" t="s">
        <v>2</v>
      </c>
      <c r="N1" s="7" t="s">
        <v>3</v>
      </c>
      <c r="O1" s="7" t="s">
        <v>3</v>
      </c>
      <c r="P1" s="7" t="s">
        <v>3</v>
      </c>
      <c r="Q1" s="7" t="s">
        <v>3</v>
      </c>
      <c r="R1" s="7" t="s">
        <v>3</v>
      </c>
      <c r="S1" s="7" t="s">
        <v>3</v>
      </c>
      <c r="T1" s="7" t="s">
        <v>3</v>
      </c>
      <c r="U1" s="7" t="s">
        <v>3</v>
      </c>
      <c r="V1" s="7" t="s">
        <v>3</v>
      </c>
      <c r="W1" s="8"/>
      <c r="X1" s="9" t="s">
        <v>4</v>
      </c>
      <c r="Y1" s="9" t="s">
        <v>4</v>
      </c>
      <c r="Z1" s="9" t="s">
        <v>4</v>
      </c>
      <c r="AA1" s="9" t="s">
        <v>4</v>
      </c>
      <c r="AB1" s="9" t="s">
        <v>4</v>
      </c>
      <c r="AC1" s="9" t="s">
        <v>4</v>
      </c>
      <c r="AD1" s="9" t="s">
        <v>4</v>
      </c>
      <c r="AE1" s="9" t="s">
        <v>4</v>
      </c>
      <c r="AF1" s="9" t="s">
        <v>4</v>
      </c>
      <c r="AG1" s="9" t="s">
        <v>4</v>
      </c>
      <c r="AH1" s="4" t="s">
        <v>1</v>
      </c>
      <c r="AI1" s="10"/>
      <c r="AJ1" s="10"/>
      <c r="AK1" s="10"/>
      <c r="AL1" s="10"/>
      <c r="AM1" s="10"/>
      <c r="AN1" s="10"/>
      <c r="AO1" s="10"/>
    </row>
    <row r="2" ht="48.0" customHeight="1">
      <c r="A2" s="11"/>
      <c r="B2" s="12" t="s">
        <v>5</v>
      </c>
      <c r="C2" s="13" t="s">
        <v>6</v>
      </c>
      <c r="D2" s="14" t="s">
        <v>7</v>
      </c>
      <c r="E2" s="15" t="s">
        <v>8</v>
      </c>
      <c r="F2" s="16"/>
      <c r="G2" s="17" t="s">
        <v>9</v>
      </c>
      <c r="H2" s="18" t="s">
        <v>10</v>
      </c>
      <c r="I2" s="19" t="s">
        <v>11</v>
      </c>
      <c r="J2" s="20" t="s">
        <v>12</v>
      </c>
      <c r="K2" s="21" t="s">
        <v>13</v>
      </c>
      <c r="L2" s="22" t="s">
        <v>14</v>
      </c>
      <c r="M2" s="23" t="s">
        <v>15</v>
      </c>
      <c r="N2" s="24" t="s">
        <v>16</v>
      </c>
      <c r="O2" s="17" t="s">
        <v>17</v>
      </c>
      <c r="P2" s="17" t="s">
        <v>18</v>
      </c>
      <c r="Q2" s="25" t="s">
        <v>6</v>
      </c>
      <c r="R2" s="26" t="s">
        <v>19</v>
      </c>
      <c r="S2" s="27" t="s">
        <v>20</v>
      </c>
      <c r="T2" s="27" t="s">
        <v>21</v>
      </c>
      <c r="U2" s="27" t="s">
        <v>22</v>
      </c>
      <c r="V2" s="17" t="s">
        <v>23</v>
      </c>
      <c r="W2" s="25" t="s">
        <v>24</v>
      </c>
      <c r="X2" s="26" t="s">
        <v>25</v>
      </c>
      <c r="Y2" s="12" t="s">
        <v>26</v>
      </c>
      <c r="Z2" s="19" t="s">
        <v>27</v>
      </c>
      <c r="AA2" s="17" t="s">
        <v>28</v>
      </c>
      <c r="AB2" s="17" t="s">
        <v>29</v>
      </c>
      <c r="AC2" s="19"/>
      <c r="AD2" s="17" t="s">
        <v>30</v>
      </c>
      <c r="AE2" s="20" t="s">
        <v>31</v>
      </c>
      <c r="AF2" s="28" t="s">
        <v>32</v>
      </c>
      <c r="AG2" s="29" t="s">
        <v>33</v>
      </c>
      <c r="AH2" s="30" t="s">
        <v>34</v>
      </c>
      <c r="AI2" s="31" t="s">
        <v>35</v>
      </c>
      <c r="AJ2" s="17"/>
      <c r="AK2" s="17"/>
      <c r="AL2" s="17"/>
      <c r="AM2" s="17"/>
      <c r="AN2" s="17"/>
      <c r="AO2" s="17"/>
    </row>
    <row r="3" ht="37.5" customHeight="1">
      <c r="A3" s="32"/>
      <c r="B3" s="33"/>
      <c r="C3" s="34"/>
      <c r="D3" s="35"/>
      <c r="E3" s="36"/>
      <c r="F3" s="37"/>
      <c r="G3" s="38" t="s">
        <v>9</v>
      </c>
      <c r="H3" s="39" t="s">
        <v>36</v>
      </c>
      <c r="I3" s="40"/>
      <c r="J3" s="32"/>
      <c r="K3" s="41">
        <v>2026.0</v>
      </c>
      <c r="L3" s="42">
        <v>2026.0</v>
      </c>
      <c r="M3" s="32">
        <v>1.825</v>
      </c>
      <c r="N3" s="32"/>
      <c r="O3" s="32"/>
      <c r="P3" s="32"/>
      <c r="Q3" s="40"/>
      <c r="R3" s="43"/>
      <c r="S3" s="44"/>
      <c r="T3" s="44"/>
      <c r="U3" s="44"/>
      <c r="V3" s="32"/>
      <c r="W3" s="40" t="s">
        <v>37</v>
      </c>
      <c r="X3" s="43"/>
      <c r="Y3" s="34"/>
      <c r="Z3" s="40"/>
      <c r="AA3" s="32"/>
      <c r="AB3" s="32"/>
      <c r="AC3" s="40"/>
      <c r="AD3" s="32"/>
      <c r="AE3" s="32"/>
      <c r="AF3" s="32" t="str">
        <f t="shared" ref="AF3:AF36" si="1">AE3</f>
        <v/>
      </c>
      <c r="AG3" s="32">
        <v>1.8</v>
      </c>
      <c r="AH3" s="45">
        <v>2025.0</v>
      </c>
      <c r="AI3" s="46">
        <v>1.015</v>
      </c>
      <c r="AJ3" s="32"/>
      <c r="AK3" s="32"/>
      <c r="AL3" s="32"/>
      <c r="AM3" s="32"/>
      <c r="AN3" s="32"/>
      <c r="AO3" s="32"/>
    </row>
    <row r="4" ht="15.75" customHeight="1">
      <c r="A4" s="47">
        <v>1234.0</v>
      </c>
      <c r="B4" s="48" t="s">
        <v>38</v>
      </c>
      <c r="C4" s="49" t="s">
        <v>39</v>
      </c>
      <c r="D4" s="50" t="s">
        <v>40</v>
      </c>
      <c r="E4" s="51">
        <v>345707.0</v>
      </c>
      <c r="F4" s="52" t="s">
        <v>40</v>
      </c>
      <c r="G4" s="53">
        <v>8.0</v>
      </c>
      <c r="H4" s="54">
        <v>6.390014480184826</v>
      </c>
      <c r="I4" s="55" t="s">
        <v>41</v>
      </c>
      <c r="J4" s="47" t="str">
        <f t="shared" ref="J4:J36" si="2">CONCATENATE(D4," - ",I4)</f>
        <v>060819 - CAISSE EN L</v>
      </c>
      <c r="K4" s="55">
        <f t="shared" ref="K4:K36" si="3">L4*1.825</f>
        <v>12.05896125</v>
      </c>
      <c r="L4" s="56">
        <v>6.60765</v>
      </c>
      <c r="M4" s="57">
        <f t="shared" ref="M4:M36" si="4">$M$3*L4</f>
        <v>12.05896125</v>
      </c>
      <c r="N4" s="47" t="s">
        <v>42</v>
      </c>
      <c r="O4" s="47" t="s">
        <v>43</v>
      </c>
      <c r="P4" s="47" t="s">
        <v>44</v>
      </c>
      <c r="Q4" s="55" t="str">
        <f t="shared" ref="Q4:Q36" si="5">C4</f>
        <v>20*20</v>
      </c>
      <c r="R4" s="58">
        <v>0.0</v>
      </c>
      <c r="S4" s="59">
        <v>0.0</v>
      </c>
      <c r="T4" s="59">
        <v>0.0</v>
      </c>
      <c r="U4" s="59">
        <v>0.0</v>
      </c>
      <c r="V4" s="47" t="s">
        <v>45</v>
      </c>
      <c r="W4" s="55" t="str">
        <f t="shared" ref="W4:W36" si="6">CONCATENATE(P4 , " - " , C4 , " - " , V4 , " - " , AD4)</f>
        <v>BLANC - 20*20 - PAS DE REHAUSSE - (Largeur bord arrière 39mm Profondeur 35mm Largeur bord visible 10mm)</v>
      </c>
      <c r="X4" s="58">
        <v>0.0</v>
      </c>
      <c r="Y4" s="60" t="s">
        <v>46</v>
      </c>
      <c r="Z4" s="55" t="str">
        <f t="shared" ref="Z4:Z36" si="7">CONCATENATE(B4," ",C4," ",Y4)</f>
        <v>CAISSE EN L (34x39) BLANCHE 20*20 PAS DE VITRE</v>
      </c>
      <c r="AA4" s="47" t="s">
        <v>47</v>
      </c>
      <c r="AB4" s="47" t="s">
        <v>48</v>
      </c>
      <c r="AC4" s="55" t="str">
        <f t="shared" ref="AC4:AC36" si="8">Z4</f>
        <v>CAISSE EN L (34x39) BLANCHE 20*20 PAS DE VITRE</v>
      </c>
      <c r="AD4" s="47" t="s">
        <v>49</v>
      </c>
      <c r="AE4" s="47" t="str">
        <f t="shared" ref="AE4:AE36" si="9">CONCATENATE(O4," "," ",C4," ",P4," ",Y4," ",V4," - ",N4," - ",AA4," - ",AB4," ",AD4)</f>
        <v>MARILYN  20*20 BLANC PAS DE VITRE PAS DE REHAUSSE - CAISSES AMERICAINES - Pas de passepartout - Dos classique sans chevalet (Largeur bord arrière 39mm Profondeur 35mm Largeur bord visible 10mm)</v>
      </c>
      <c r="AF4" s="47" t="str">
        <f t="shared" si="1"/>
        <v>MARILYN  20*20 BLANC PAS DE VITRE PAS DE REHAUSSE - CAISSES AMERICAINES - Pas de passepartout - Dos classique sans chevalet (Largeur bord arrière 39mm Profondeur 35mm Largeur bord visible 10mm)</v>
      </c>
      <c r="AG4" s="61">
        <f t="shared" ref="AG4:AG36" si="10">$AG$3*H4</f>
        <v>11.50202606</v>
      </c>
      <c r="AH4" s="62">
        <v>6.51</v>
      </c>
      <c r="AI4" s="47"/>
      <c r="AJ4" s="47"/>
      <c r="AK4" s="47"/>
      <c r="AL4" s="47"/>
      <c r="AM4" s="47"/>
      <c r="AN4" s="47"/>
      <c r="AO4" s="47"/>
    </row>
    <row r="5" ht="15.75" customHeight="1">
      <c r="A5" s="47">
        <v>1235.0</v>
      </c>
      <c r="B5" s="48" t="s">
        <v>38</v>
      </c>
      <c r="C5" s="49" t="s">
        <v>50</v>
      </c>
      <c r="D5" s="50" t="s">
        <v>51</v>
      </c>
      <c r="E5" s="51">
        <v>345707.0</v>
      </c>
      <c r="F5" s="52" t="s">
        <v>51</v>
      </c>
      <c r="G5" s="53">
        <v>4.0</v>
      </c>
      <c r="H5" s="63">
        <v>8.55899349062585</v>
      </c>
      <c r="I5" s="55" t="s">
        <v>41</v>
      </c>
      <c r="J5" s="47" t="str">
        <f t="shared" si="2"/>
        <v>060820 - CAISSE EN L</v>
      </c>
      <c r="K5" s="55">
        <f t="shared" si="3"/>
        <v>16.15271</v>
      </c>
      <c r="L5" s="56">
        <v>8.8508</v>
      </c>
      <c r="M5" s="57">
        <f t="shared" si="4"/>
        <v>16.15271</v>
      </c>
      <c r="N5" s="47" t="s">
        <v>42</v>
      </c>
      <c r="O5" s="47" t="s">
        <v>43</v>
      </c>
      <c r="P5" s="47" t="s">
        <v>44</v>
      </c>
      <c r="Q5" s="55" t="str">
        <f t="shared" si="5"/>
        <v>30*30</v>
      </c>
      <c r="R5" s="58">
        <v>0.0</v>
      </c>
      <c r="S5" s="59">
        <v>0.0</v>
      </c>
      <c r="T5" s="59">
        <v>0.0</v>
      </c>
      <c r="U5" s="59">
        <v>0.0</v>
      </c>
      <c r="V5" s="47" t="s">
        <v>45</v>
      </c>
      <c r="W5" s="55" t="str">
        <f t="shared" si="6"/>
        <v>BLANC - 30*30 - PAS DE REHAUSSE - (Largeur bord arrière 39mm Profondeur 35mm Largeur bord visible 10mm)</v>
      </c>
      <c r="X5" s="58">
        <v>0.0</v>
      </c>
      <c r="Y5" s="60" t="s">
        <v>46</v>
      </c>
      <c r="Z5" s="55" t="str">
        <f t="shared" si="7"/>
        <v>CAISSE EN L (34x39) BLANCHE 30*30 PAS DE VITRE</v>
      </c>
      <c r="AA5" s="47" t="s">
        <v>47</v>
      </c>
      <c r="AB5" s="47" t="s">
        <v>48</v>
      </c>
      <c r="AC5" s="55" t="str">
        <f t="shared" si="8"/>
        <v>CAISSE EN L (34x39) BLANCHE 30*30 PAS DE VITRE</v>
      </c>
      <c r="AD5" s="47" t="s">
        <v>49</v>
      </c>
      <c r="AE5" s="47" t="str">
        <f t="shared" si="9"/>
        <v>MARILYN  30*30 BLANC PAS DE VITRE PAS DE REHAUSSE - CAISSES AMERICAINES - Pas de passepartout - Dos classique sans chevalet (Largeur bord arrière 39mm Profondeur 35mm Largeur bord visible 10mm)</v>
      </c>
      <c r="AF5" s="47" t="str">
        <f t="shared" si="1"/>
        <v>MARILYN  30*30 BLANC PAS DE VITRE PAS DE REHAUSSE - CAISSES AMERICAINES - Pas de passepartout - Dos classique sans chevalet (Largeur bord arrière 39mm Profondeur 35mm Largeur bord visible 10mm)</v>
      </c>
      <c r="AG5" s="61">
        <f t="shared" si="10"/>
        <v>15.40618828</v>
      </c>
      <c r="AH5" s="62">
        <v>8.72</v>
      </c>
      <c r="AI5" s="47"/>
      <c r="AJ5" s="47"/>
      <c r="AK5" s="47"/>
      <c r="AL5" s="47"/>
      <c r="AM5" s="47"/>
      <c r="AN5" s="47"/>
      <c r="AO5" s="47"/>
    </row>
    <row r="6" ht="15.75" customHeight="1">
      <c r="A6" s="47">
        <v>1236.0</v>
      </c>
      <c r="B6" s="48" t="s">
        <v>38</v>
      </c>
      <c r="C6" s="49" t="s">
        <v>52</v>
      </c>
      <c r="D6" s="50" t="s">
        <v>53</v>
      </c>
      <c r="E6" s="51">
        <v>345707.0</v>
      </c>
      <c r="F6" s="52" t="s">
        <v>53</v>
      </c>
      <c r="G6" s="53">
        <v>1.0</v>
      </c>
      <c r="H6" s="63">
        <v>10.764757123896887</v>
      </c>
      <c r="I6" s="55" t="s">
        <v>41</v>
      </c>
      <c r="J6" s="47" t="str">
        <f t="shared" si="2"/>
        <v>060821 - CAISSE EN L</v>
      </c>
      <c r="K6" s="55">
        <f t="shared" si="3"/>
        <v>20.32055375</v>
      </c>
      <c r="L6" s="56">
        <v>11.134549999999999</v>
      </c>
      <c r="M6" s="57">
        <f t="shared" si="4"/>
        <v>20.32055375</v>
      </c>
      <c r="N6" s="47" t="s">
        <v>42</v>
      </c>
      <c r="O6" s="47" t="s">
        <v>43</v>
      </c>
      <c r="P6" s="47" t="s">
        <v>44</v>
      </c>
      <c r="Q6" s="55" t="str">
        <f t="shared" si="5"/>
        <v>40*40</v>
      </c>
      <c r="R6" s="58">
        <v>0.0</v>
      </c>
      <c r="S6" s="59">
        <v>0.0</v>
      </c>
      <c r="T6" s="59">
        <v>0.0</v>
      </c>
      <c r="U6" s="59">
        <v>0.0</v>
      </c>
      <c r="V6" s="47" t="s">
        <v>45</v>
      </c>
      <c r="W6" s="55" t="str">
        <f t="shared" si="6"/>
        <v>BLANC - 40*40 - PAS DE REHAUSSE - (Largeur bord arrière 39mm Profondeur 35mm Largeur bord visible 10mm)</v>
      </c>
      <c r="X6" s="58">
        <v>0.0</v>
      </c>
      <c r="Y6" s="60" t="s">
        <v>46</v>
      </c>
      <c r="Z6" s="55" t="str">
        <f t="shared" si="7"/>
        <v>CAISSE EN L (34x39) BLANCHE 40*40 PAS DE VITRE</v>
      </c>
      <c r="AA6" s="47" t="s">
        <v>47</v>
      </c>
      <c r="AB6" s="47" t="s">
        <v>48</v>
      </c>
      <c r="AC6" s="55" t="str">
        <f t="shared" si="8"/>
        <v>CAISSE EN L (34x39) BLANCHE 40*40 PAS DE VITRE</v>
      </c>
      <c r="AD6" s="47" t="s">
        <v>49</v>
      </c>
      <c r="AE6" s="47" t="str">
        <f t="shared" si="9"/>
        <v>MARILYN  40*40 BLANC PAS DE VITRE PAS DE REHAUSSE - CAISSES AMERICAINES - Pas de passepartout - Dos classique sans chevalet (Largeur bord arrière 39mm Profondeur 35mm Largeur bord visible 10mm)</v>
      </c>
      <c r="AF6" s="47" t="str">
        <f t="shared" si="1"/>
        <v>MARILYN  40*40 BLANC PAS DE VITRE PAS DE REHAUSSE - CAISSES AMERICAINES - Pas de passepartout - Dos classique sans chevalet (Largeur bord arrière 39mm Profondeur 35mm Largeur bord visible 10mm)</v>
      </c>
      <c r="AG6" s="61">
        <f t="shared" si="10"/>
        <v>19.37656282</v>
      </c>
      <c r="AH6" s="62">
        <v>10.97</v>
      </c>
      <c r="AI6" s="47"/>
      <c r="AJ6" s="47"/>
      <c r="AK6" s="47"/>
      <c r="AL6" s="47"/>
      <c r="AM6" s="47"/>
      <c r="AN6" s="47"/>
      <c r="AO6" s="47"/>
    </row>
    <row r="7" ht="15.75" customHeight="1">
      <c r="A7" s="47">
        <v>1237.0</v>
      </c>
      <c r="B7" s="48" t="s">
        <v>38</v>
      </c>
      <c r="C7" s="49" t="s">
        <v>54</v>
      </c>
      <c r="D7" s="50" t="s">
        <v>55</v>
      </c>
      <c r="E7" s="51">
        <v>345707.0</v>
      </c>
      <c r="F7" s="52" t="s">
        <v>55</v>
      </c>
      <c r="G7" s="53">
        <v>8.0</v>
      </c>
      <c r="H7" s="63">
        <v>13.008619116527576</v>
      </c>
      <c r="I7" s="55" t="s">
        <v>41</v>
      </c>
      <c r="J7" s="47" t="str">
        <f t="shared" si="2"/>
        <v>060822 - CAISSE EN L</v>
      </c>
      <c r="K7" s="55">
        <f t="shared" si="3"/>
        <v>24.5624925</v>
      </c>
      <c r="L7" s="56">
        <v>13.458899999999998</v>
      </c>
      <c r="M7" s="57">
        <f t="shared" si="4"/>
        <v>24.5624925</v>
      </c>
      <c r="N7" s="47" t="s">
        <v>42</v>
      </c>
      <c r="O7" s="47" t="s">
        <v>43</v>
      </c>
      <c r="P7" s="47" t="s">
        <v>44</v>
      </c>
      <c r="Q7" s="55" t="str">
        <f t="shared" si="5"/>
        <v>50*50</v>
      </c>
      <c r="R7" s="58">
        <v>0.0</v>
      </c>
      <c r="S7" s="59">
        <v>0.0</v>
      </c>
      <c r="T7" s="59">
        <v>0.0</v>
      </c>
      <c r="U7" s="59">
        <v>0.0</v>
      </c>
      <c r="V7" s="47" t="s">
        <v>45</v>
      </c>
      <c r="W7" s="55" t="str">
        <f t="shared" si="6"/>
        <v>BLANC - 50*50 - PAS DE REHAUSSE - (Largeur bord arrière 39mm Profondeur 35mm Largeur bord visible 10mm)</v>
      </c>
      <c r="X7" s="58">
        <v>0.0</v>
      </c>
      <c r="Y7" s="60" t="s">
        <v>46</v>
      </c>
      <c r="Z7" s="55" t="str">
        <f t="shared" si="7"/>
        <v>CAISSE EN L (34x39) BLANCHE 50*50 PAS DE VITRE</v>
      </c>
      <c r="AA7" s="47" t="s">
        <v>47</v>
      </c>
      <c r="AB7" s="47" t="s">
        <v>48</v>
      </c>
      <c r="AC7" s="55" t="str">
        <f t="shared" si="8"/>
        <v>CAISSE EN L (34x39) BLANCHE 50*50 PAS DE VITRE</v>
      </c>
      <c r="AD7" s="47" t="s">
        <v>49</v>
      </c>
      <c r="AE7" s="47" t="str">
        <f t="shared" si="9"/>
        <v>MARILYN  50*50 BLANC PAS DE VITRE PAS DE REHAUSSE - CAISSES AMERICAINES - Pas de passepartout - Dos classique sans chevalet (Largeur bord arrière 39mm Profondeur 35mm Largeur bord visible 10mm)</v>
      </c>
      <c r="AF7" s="47" t="str">
        <f t="shared" si="1"/>
        <v>MARILYN  50*50 BLANC PAS DE VITRE PAS DE REHAUSSE - CAISSES AMERICAINES - Pas de passepartout - Dos classique sans chevalet (Largeur bord arrière 39mm Profondeur 35mm Largeur bord visible 10mm)</v>
      </c>
      <c r="AG7" s="61">
        <f t="shared" si="10"/>
        <v>23.41551441</v>
      </c>
      <c r="AH7" s="62">
        <v>13.26</v>
      </c>
      <c r="AI7" s="47"/>
      <c r="AJ7" s="47"/>
      <c r="AK7" s="47"/>
      <c r="AL7" s="47"/>
      <c r="AM7" s="47"/>
      <c r="AN7" s="47"/>
      <c r="AO7" s="47"/>
    </row>
    <row r="8" ht="15.75" customHeight="1">
      <c r="A8" s="47">
        <v>1238.0</v>
      </c>
      <c r="B8" s="48" t="s">
        <v>38</v>
      </c>
      <c r="C8" s="49" t="s">
        <v>56</v>
      </c>
      <c r="D8" s="50" t="s">
        <v>57</v>
      </c>
      <c r="E8" s="51">
        <v>345707.0</v>
      </c>
      <c r="F8" s="52" t="s">
        <v>57</v>
      </c>
      <c r="G8" s="53">
        <v>5.0</v>
      </c>
      <c r="H8" s="63">
        <v>15.573032822391223</v>
      </c>
      <c r="I8" s="55" t="s">
        <v>41</v>
      </c>
      <c r="J8" s="47" t="str">
        <f t="shared" si="2"/>
        <v>060823 - CAISSE EN L</v>
      </c>
      <c r="K8" s="55">
        <f t="shared" si="3"/>
        <v>29.39719125</v>
      </c>
      <c r="L8" s="56">
        <v>16.10805</v>
      </c>
      <c r="M8" s="57">
        <f t="shared" si="4"/>
        <v>29.39719125</v>
      </c>
      <c r="N8" s="47" t="s">
        <v>42</v>
      </c>
      <c r="O8" s="47" t="s">
        <v>43</v>
      </c>
      <c r="P8" s="47" t="s">
        <v>44</v>
      </c>
      <c r="Q8" s="55" t="str">
        <f t="shared" si="5"/>
        <v>60*60</v>
      </c>
      <c r="R8" s="58">
        <v>0.0</v>
      </c>
      <c r="S8" s="59">
        <v>0.0</v>
      </c>
      <c r="T8" s="59">
        <v>0.0</v>
      </c>
      <c r="U8" s="59">
        <v>0.0</v>
      </c>
      <c r="V8" s="47" t="s">
        <v>45</v>
      </c>
      <c r="W8" s="55" t="str">
        <f t="shared" si="6"/>
        <v>BLANC - 60*60 - PAS DE REHAUSSE - (Largeur bord arrière 39mm Profondeur 35mm Largeur bord visible 10mm)</v>
      </c>
      <c r="X8" s="58">
        <v>0.0</v>
      </c>
      <c r="Y8" s="60" t="s">
        <v>46</v>
      </c>
      <c r="Z8" s="55" t="str">
        <f t="shared" si="7"/>
        <v>CAISSE EN L (34x39) BLANCHE 60*60 PAS DE VITRE</v>
      </c>
      <c r="AA8" s="47" t="s">
        <v>47</v>
      </c>
      <c r="AB8" s="47" t="s">
        <v>48</v>
      </c>
      <c r="AC8" s="55" t="str">
        <f t="shared" si="8"/>
        <v>CAISSE EN L (34x39) BLANCHE 60*60 PAS DE VITRE</v>
      </c>
      <c r="AD8" s="47" t="s">
        <v>49</v>
      </c>
      <c r="AE8" s="47" t="str">
        <f t="shared" si="9"/>
        <v>MARILYN  60*60 BLANC PAS DE VITRE PAS DE REHAUSSE - CAISSES AMERICAINES - Pas de passepartout - Dos classique sans chevalet (Largeur bord arrière 39mm Profondeur 35mm Largeur bord visible 10mm)</v>
      </c>
      <c r="AF8" s="47" t="str">
        <f t="shared" si="1"/>
        <v>MARILYN  60*60 BLANC PAS DE VITRE PAS DE REHAUSSE - CAISSES AMERICAINES - Pas de passepartout - Dos classique sans chevalet (Largeur bord arrière 39mm Profondeur 35mm Largeur bord visible 10mm)</v>
      </c>
      <c r="AG8" s="61">
        <f t="shared" si="10"/>
        <v>28.03145908</v>
      </c>
      <c r="AH8" s="62">
        <v>15.87</v>
      </c>
      <c r="AI8" s="47"/>
      <c r="AJ8" s="47"/>
      <c r="AK8" s="47"/>
      <c r="AL8" s="47"/>
      <c r="AM8" s="47"/>
      <c r="AN8" s="47"/>
      <c r="AO8" s="47"/>
    </row>
    <row r="9" ht="15.75" customHeight="1">
      <c r="A9" s="47">
        <v>1239.0</v>
      </c>
      <c r="B9" s="48" t="s">
        <v>38</v>
      </c>
      <c r="C9" s="49" t="s">
        <v>58</v>
      </c>
      <c r="D9" s="50" t="s">
        <v>59</v>
      </c>
      <c r="E9" s="51">
        <v>345707.0</v>
      </c>
      <c r="F9" s="52" t="s">
        <v>59</v>
      </c>
      <c r="G9" s="53">
        <v>2.0</v>
      </c>
      <c r="H9" s="63">
        <v>18.0533673903577</v>
      </c>
      <c r="I9" s="55" t="s">
        <v>41</v>
      </c>
      <c r="J9" s="47" t="str">
        <f t="shared" si="2"/>
        <v>060824 - CAISSE EN L</v>
      </c>
      <c r="K9" s="55">
        <f t="shared" si="3"/>
        <v>34.0837</v>
      </c>
      <c r="L9" s="56">
        <v>18.676</v>
      </c>
      <c r="M9" s="57">
        <f t="shared" si="4"/>
        <v>34.0837</v>
      </c>
      <c r="N9" s="47" t="s">
        <v>42</v>
      </c>
      <c r="O9" s="47" t="s">
        <v>43</v>
      </c>
      <c r="P9" s="47" t="s">
        <v>44</v>
      </c>
      <c r="Q9" s="55" t="str">
        <f t="shared" si="5"/>
        <v>70*70</v>
      </c>
      <c r="R9" s="58">
        <v>0.0</v>
      </c>
      <c r="S9" s="59">
        <v>0.0</v>
      </c>
      <c r="T9" s="59">
        <v>0.0</v>
      </c>
      <c r="U9" s="59">
        <v>0.0</v>
      </c>
      <c r="V9" s="47" t="s">
        <v>45</v>
      </c>
      <c r="W9" s="55" t="str">
        <f t="shared" si="6"/>
        <v>BLANC - 70*70 - PAS DE REHAUSSE - (Largeur bord arrière 39mm Profondeur 35mm Largeur bord visible 10mm)</v>
      </c>
      <c r="X9" s="58">
        <v>0.0</v>
      </c>
      <c r="Y9" s="60" t="s">
        <v>46</v>
      </c>
      <c r="Z9" s="55" t="str">
        <f t="shared" si="7"/>
        <v>CAISSE EN L (34x39) BLANCHE 70*70 PAS DE VITRE</v>
      </c>
      <c r="AA9" s="47" t="s">
        <v>47</v>
      </c>
      <c r="AB9" s="47" t="s">
        <v>48</v>
      </c>
      <c r="AC9" s="55" t="str">
        <f t="shared" si="8"/>
        <v>CAISSE EN L (34x39) BLANCHE 70*70 PAS DE VITRE</v>
      </c>
      <c r="AD9" s="47" t="s">
        <v>49</v>
      </c>
      <c r="AE9" s="47" t="str">
        <f t="shared" si="9"/>
        <v>MARILYN  70*70 BLANC PAS DE VITRE PAS DE REHAUSSE - CAISSES AMERICAINES - Pas de passepartout - Dos classique sans chevalet (Largeur bord arrière 39mm Profondeur 35mm Largeur bord visible 10mm)</v>
      </c>
      <c r="AF9" s="47" t="str">
        <f t="shared" si="1"/>
        <v>MARILYN  70*70 BLANC PAS DE VITRE PAS DE REHAUSSE - CAISSES AMERICAINES - Pas de passepartout - Dos classique sans chevalet (Largeur bord arrière 39mm Profondeur 35mm Largeur bord visible 10mm)</v>
      </c>
      <c r="AG9" s="61">
        <f t="shared" si="10"/>
        <v>32.4960613</v>
      </c>
      <c r="AH9" s="62">
        <v>18.4</v>
      </c>
      <c r="AI9" s="47"/>
      <c r="AJ9" s="47"/>
      <c r="AK9" s="47"/>
      <c r="AL9" s="47"/>
      <c r="AM9" s="47"/>
      <c r="AN9" s="47"/>
      <c r="AO9" s="47"/>
    </row>
    <row r="10" ht="15.75" customHeight="1">
      <c r="A10" s="47">
        <v>1240.0</v>
      </c>
      <c r="B10" s="48" t="s">
        <v>38</v>
      </c>
      <c r="C10" s="49" t="s">
        <v>60</v>
      </c>
      <c r="D10" s="50" t="s">
        <v>61</v>
      </c>
      <c r="E10" s="51">
        <v>345707.0</v>
      </c>
      <c r="F10" s="52" t="s">
        <v>61</v>
      </c>
      <c r="G10" s="53">
        <v>9.0</v>
      </c>
      <c r="H10" s="63">
        <v>20.866077300323926</v>
      </c>
      <c r="I10" s="55" t="s">
        <v>41</v>
      </c>
      <c r="J10" s="47" t="str">
        <f t="shared" si="2"/>
        <v>060825 - CAISSE EN L</v>
      </c>
      <c r="K10" s="55">
        <f t="shared" si="3"/>
        <v>39.3814925</v>
      </c>
      <c r="L10" s="56">
        <v>21.5789</v>
      </c>
      <c r="M10" s="57">
        <f t="shared" si="4"/>
        <v>39.3814925</v>
      </c>
      <c r="N10" s="47" t="s">
        <v>42</v>
      </c>
      <c r="O10" s="47" t="s">
        <v>43</v>
      </c>
      <c r="P10" s="47" t="s">
        <v>44</v>
      </c>
      <c r="Q10" s="55" t="str">
        <f t="shared" si="5"/>
        <v>80*80</v>
      </c>
      <c r="R10" s="58">
        <v>0.0</v>
      </c>
      <c r="S10" s="59">
        <v>0.0</v>
      </c>
      <c r="T10" s="59">
        <v>0.0</v>
      </c>
      <c r="U10" s="59">
        <v>0.0</v>
      </c>
      <c r="V10" s="47" t="s">
        <v>45</v>
      </c>
      <c r="W10" s="55" t="str">
        <f t="shared" si="6"/>
        <v>BLANC - 80*80 - PAS DE REHAUSSE - (Largeur bord arrière 39mm Profondeur 35mm Largeur bord visible 10mm)</v>
      </c>
      <c r="X10" s="58">
        <v>0.0</v>
      </c>
      <c r="Y10" s="60" t="s">
        <v>46</v>
      </c>
      <c r="Z10" s="55" t="str">
        <f t="shared" si="7"/>
        <v>CAISSE EN L (34x39) BLANCHE 80*80 PAS DE VITRE</v>
      </c>
      <c r="AA10" s="47" t="s">
        <v>47</v>
      </c>
      <c r="AB10" s="47" t="s">
        <v>48</v>
      </c>
      <c r="AC10" s="55" t="str">
        <f t="shared" si="8"/>
        <v>CAISSE EN L (34x39) BLANCHE 80*80 PAS DE VITRE</v>
      </c>
      <c r="AD10" s="47" t="s">
        <v>49</v>
      </c>
      <c r="AE10" s="47" t="str">
        <f t="shared" si="9"/>
        <v>MARILYN  80*80 BLANC PAS DE VITRE PAS DE REHAUSSE - CAISSES AMERICAINES - Pas de passepartout - Dos classique sans chevalet (Largeur bord arrière 39mm Profondeur 35mm Largeur bord visible 10mm)</v>
      </c>
      <c r="AF10" s="47" t="str">
        <f t="shared" si="1"/>
        <v>MARILYN  80*80 BLANC PAS DE VITRE PAS DE REHAUSSE - CAISSES AMERICAINES - Pas de passepartout - Dos classique sans chevalet (Largeur bord arrière 39mm Profondeur 35mm Largeur bord visible 10mm)</v>
      </c>
      <c r="AG10" s="61">
        <f t="shared" si="10"/>
        <v>37.55893914</v>
      </c>
      <c r="AH10" s="62">
        <v>21.26</v>
      </c>
      <c r="AI10" s="47"/>
      <c r="AJ10" s="47"/>
      <c r="AK10" s="47"/>
      <c r="AL10" s="47"/>
      <c r="AM10" s="47"/>
      <c r="AN10" s="47"/>
      <c r="AO10" s="47"/>
    </row>
    <row r="11" ht="15.75" customHeight="1">
      <c r="A11" s="47">
        <v>1241.0</v>
      </c>
      <c r="B11" s="48" t="s">
        <v>38</v>
      </c>
      <c r="C11" s="49" t="s">
        <v>62</v>
      </c>
      <c r="D11" s="50" t="s">
        <v>63</v>
      </c>
      <c r="E11" s="51">
        <v>345707.0</v>
      </c>
      <c r="F11" s="52" t="s">
        <v>63</v>
      </c>
      <c r="G11" s="53">
        <v>6.0</v>
      </c>
      <c r="H11" s="63">
        <v>8.55899349062585</v>
      </c>
      <c r="I11" s="55" t="s">
        <v>41</v>
      </c>
      <c r="J11" s="47" t="str">
        <f t="shared" si="2"/>
        <v>060826 - CAISSE EN L</v>
      </c>
      <c r="K11" s="55">
        <f t="shared" si="3"/>
        <v>16.15271</v>
      </c>
      <c r="L11" s="56">
        <v>8.8508</v>
      </c>
      <c r="M11" s="57">
        <f t="shared" si="4"/>
        <v>16.15271</v>
      </c>
      <c r="N11" s="47" t="s">
        <v>42</v>
      </c>
      <c r="O11" s="47" t="s">
        <v>43</v>
      </c>
      <c r="P11" s="47" t="s">
        <v>44</v>
      </c>
      <c r="Q11" s="55" t="str">
        <f t="shared" si="5"/>
        <v>20*40</v>
      </c>
      <c r="R11" s="58">
        <v>0.0</v>
      </c>
      <c r="S11" s="59">
        <v>0.0</v>
      </c>
      <c r="T11" s="59">
        <v>0.0</v>
      </c>
      <c r="U11" s="59">
        <v>0.0</v>
      </c>
      <c r="V11" s="47" t="s">
        <v>45</v>
      </c>
      <c r="W11" s="55" t="str">
        <f t="shared" si="6"/>
        <v>BLANC - 20*40 - PAS DE REHAUSSE - (Largeur bord arrière 39mm Profondeur 35mm Largeur bord visible 10mm)</v>
      </c>
      <c r="X11" s="58">
        <v>0.0</v>
      </c>
      <c r="Y11" s="60" t="s">
        <v>46</v>
      </c>
      <c r="Z11" s="55" t="str">
        <f t="shared" si="7"/>
        <v>CAISSE EN L (34x39) BLANCHE 20*40 PAS DE VITRE</v>
      </c>
      <c r="AA11" s="47" t="s">
        <v>47</v>
      </c>
      <c r="AB11" s="47" t="s">
        <v>48</v>
      </c>
      <c r="AC11" s="55" t="str">
        <f t="shared" si="8"/>
        <v>CAISSE EN L (34x39) BLANCHE 20*40 PAS DE VITRE</v>
      </c>
      <c r="AD11" s="47" t="s">
        <v>49</v>
      </c>
      <c r="AE11" s="47" t="str">
        <f t="shared" si="9"/>
        <v>MARILYN  20*40 BLANC PAS DE VITRE PAS DE REHAUSSE - CAISSES AMERICAINES - Pas de passepartout - Dos classique sans chevalet (Largeur bord arrière 39mm Profondeur 35mm Largeur bord visible 10mm)</v>
      </c>
      <c r="AF11" s="47" t="str">
        <f t="shared" si="1"/>
        <v>MARILYN  20*40 BLANC PAS DE VITRE PAS DE REHAUSSE - CAISSES AMERICAINES - Pas de passepartout - Dos classique sans chevalet (Largeur bord arrière 39mm Profondeur 35mm Largeur bord visible 10mm)</v>
      </c>
      <c r="AG11" s="61">
        <f t="shared" si="10"/>
        <v>15.40618828</v>
      </c>
      <c r="AH11" s="62">
        <v>8.72</v>
      </c>
      <c r="AI11" s="47"/>
      <c r="AJ11" s="47"/>
      <c r="AK11" s="47"/>
      <c r="AL11" s="47"/>
      <c r="AM11" s="47"/>
      <c r="AN11" s="47"/>
      <c r="AO11" s="47"/>
    </row>
    <row r="12" ht="15.75" customHeight="1">
      <c r="A12" s="47">
        <v>1242.0</v>
      </c>
      <c r="B12" s="48" t="s">
        <v>38</v>
      </c>
      <c r="C12" s="49" t="s">
        <v>64</v>
      </c>
      <c r="D12" s="50" t="s">
        <v>65</v>
      </c>
      <c r="E12" s="51">
        <v>345707.0</v>
      </c>
      <c r="F12" s="52" t="s">
        <v>65</v>
      </c>
      <c r="G12" s="53">
        <v>3.0</v>
      </c>
      <c r="H12" s="63">
        <v>12.043022767239778</v>
      </c>
      <c r="I12" s="55" t="s">
        <v>41</v>
      </c>
      <c r="J12" s="47" t="str">
        <f t="shared" si="2"/>
        <v>060827 - CAISSE EN L</v>
      </c>
      <c r="K12" s="55">
        <f t="shared" si="3"/>
        <v>22.72864125</v>
      </c>
      <c r="L12" s="56">
        <v>12.454049999999999</v>
      </c>
      <c r="M12" s="57">
        <f t="shared" si="4"/>
        <v>22.72864125</v>
      </c>
      <c r="N12" s="47" t="s">
        <v>42</v>
      </c>
      <c r="O12" s="47" t="s">
        <v>43</v>
      </c>
      <c r="P12" s="47" t="s">
        <v>44</v>
      </c>
      <c r="Q12" s="55" t="str">
        <f t="shared" si="5"/>
        <v>30*60</v>
      </c>
      <c r="R12" s="58">
        <v>0.0</v>
      </c>
      <c r="S12" s="59">
        <v>0.0</v>
      </c>
      <c r="T12" s="59">
        <v>0.0</v>
      </c>
      <c r="U12" s="59">
        <v>0.0</v>
      </c>
      <c r="V12" s="47" t="s">
        <v>45</v>
      </c>
      <c r="W12" s="55" t="str">
        <f t="shared" si="6"/>
        <v>BLANC - 30*60 - PAS DE REHAUSSE - (Largeur bord arrière 39mm Profondeur 35mm Largeur bord visible 10mm)</v>
      </c>
      <c r="X12" s="58">
        <v>0.0</v>
      </c>
      <c r="Y12" s="60" t="s">
        <v>46</v>
      </c>
      <c r="Z12" s="55" t="str">
        <f t="shared" si="7"/>
        <v>CAISSE EN L (34x39) BLANCHE 30*60 PAS DE VITRE</v>
      </c>
      <c r="AA12" s="47" t="s">
        <v>47</v>
      </c>
      <c r="AB12" s="47" t="s">
        <v>48</v>
      </c>
      <c r="AC12" s="55" t="str">
        <f t="shared" si="8"/>
        <v>CAISSE EN L (34x39) BLANCHE 30*60 PAS DE VITRE</v>
      </c>
      <c r="AD12" s="47" t="s">
        <v>49</v>
      </c>
      <c r="AE12" s="47" t="str">
        <f t="shared" si="9"/>
        <v>MARILYN  30*60 BLANC PAS DE VITRE PAS DE REHAUSSE - CAISSES AMERICAINES - Pas de passepartout - Dos classique sans chevalet (Largeur bord arrière 39mm Profondeur 35mm Largeur bord visible 10mm)</v>
      </c>
      <c r="AF12" s="47" t="str">
        <f t="shared" si="1"/>
        <v>MARILYN  30*60 BLANC PAS DE VITRE PAS DE REHAUSSE - CAISSES AMERICAINES - Pas de passepartout - Dos classique sans chevalet (Largeur bord arrière 39mm Profondeur 35mm Largeur bord visible 10mm)</v>
      </c>
      <c r="AG12" s="61">
        <f t="shared" si="10"/>
        <v>21.67744098</v>
      </c>
      <c r="AH12" s="62">
        <v>12.27</v>
      </c>
      <c r="AI12" s="47"/>
      <c r="AJ12" s="47"/>
      <c r="AK12" s="47"/>
      <c r="AL12" s="47"/>
      <c r="AM12" s="47"/>
      <c r="AN12" s="47"/>
      <c r="AO12" s="47"/>
    </row>
    <row r="13" ht="15.75" customHeight="1">
      <c r="A13" s="47">
        <v>1243.0</v>
      </c>
      <c r="B13" s="48" t="s">
        <v>38</v>
      </c>
      <c r="C13" s="49" t="s">
        <v>66</v>
      </c>
      <c r="D13" s="50" t="s">
        <v>67</v>
      </c>
      <c r="E13" s="51">
        <v>345707.0</v>
      </c>
      <c r="F13" s="52" t="s">
        <v>67</v>
      </c>
      <c r="G13" s="53">
        <v>0.0</v>
      </c>
      <c r="H13" s="63">
        <v>15.532306989972282</v>
      </c>
      <c r="I13" s="55" t="s">
        <v>41</v>
      </c>
      <c r="J13" s="47" t="str">
        <f t="shared" si="2"/>
        <v>060828 - CAISSE EN L</v>
      </c>
      <c r="K13" s="55">
        <f t="shared" si="3"/>
        <v>29.32309625</v>
      </c>
      <c r="L13" s="56">
        <v>16.067449999999997</v>
      </c>
      <c r="M13" s="57">
        <f t="shared" si="4"/>
        <v>29.32309625</v>
      </c>
      <c r="N13" s="47" t="s">
        <v>42</v>
      </c>
      <c r="O13" s="47" t="s">
        <v>43</v>
      </c>
      <c r="P13" s="47" t="s">
        <v>44</v>
      </c>
      <c r="Q13" s="55" t="str">
        <f t="shared" si="5"/>
        <v>40*80</v>
      </c>
      <c r="R13" s="58">
        <v>0.0</v>
      </c>
      <c r="S13" s="59">
        <v>0.0</v>
      </c>
      <c r="T13" s="59">
        <v>0.0</v>
      </c>
      <c r="U13" s="59">
        <v>0.0</v>
      </c>
      <c r="V13" s="47" t="s">
        <v>45</v>
      </c>
      <c r="W13" s="55" t="str">
        <f t="shared" si="6"/>
        <v>BLANC - 40*80 - PAS DE REHAUSSE - (Largeur bord arrière 39mm Profondeur 35mm Largeur bord visible 10mm)</v>
      </c>
      <c r="X13" s="58">
        <v>0.0</v>
      </c>
      <c r="Y13" s="60" t="s">
        <v>46</v>
      </c>
      <c r="Z13" s="55" t="str">
        <f t="shared" si="7"/>
        <v>CAISSE EN L (34x39) BLANCHE 40*80 PAS DE VITRE</v>
      </c>
      <c r="AA13" s="47" t="s">
        <v>47</v>
      </c>
      <c r="AB13" s="47" t="s">
        <v>48</v>
      </c>
      <c r="AC13" s="55" t="str">
        <f t="shared" si="8"/>
        <v>CAISSE EN L (34x39) BLANCHE 40*80 PAS DE VITRE</v>
      </c>
      <c r="AD13" s="47" t="s">
        <v>49</v>
      </c>
      <c r="AE13" s="47" t="str">
        <f t="shared" si="9"/>
        <v>MARILYN  40*80 BLANC PAS DE VITRE PAS DE REHAUSSE - CAISSES AMERICAINES - Pas de passepartout - Dos classique sans chevalet (Largeur bord arrière 39mm Profondeur 35mm Largeur bord visible 10mm)</v>
      </c>
      <c r="AF13" s="47" t="str">
        <f t="shared" si="1"/>
        <v>MARILYN  40*80 BLANC PAS DE VITRE PAS DE REHAUSSE - CAISSES AMERICAINES - Pas de passepartout - Dos classique sans chevalet (Largeur bord arrière 39mm Profondeur 35mm Largeur bord visible 10mm)</v>
      </c>
      <c r="AG13" s="61">
        <f t="shared" si="10"/>
        <v>27.95815258</v>
      </c>
      <c r="AH13" s="62">
        <v>15.83</v>
      </c>
      <c r="AI13" s="47"/>
      <c r="AJ13" s="47"/>
      <c r="AK13" s="47"/>
      <c r="AL13" s="47"/>
      <c r="AM13" s="47"/>
      <c r="AN13" s="47"/>
      <c r="AO13" s="47"/>
    </row>
    <row r="14" ht="15.75" customHeight="1">
      <c r="A14" s="47">
        <v>1244.0</v>
      </c>
      <c r="B14" s="48" t="s">
        <v>38</v>
      </c>
      <c r="C14" s="49" t="s">
        <v>68</v>
      </c>
      <c r="D14" s="50" t="s">
        <v>69</v>
      </c>
      <c r="E14" s="51">
        <v>345707.0</v>
      </c>
      <c r="F14" s="52" t="s">
        <v>69</v>
      </c>
      <c r="G14" s="53">
        <v>7.0</v>
      </c>
      <c r="H14" s="63">
        <v>19.124062662016964</v>
      </c>
      <c r="I14" s="55" t="s">
        <v>41</v>
      </c>
      <c r="J14" s="47" t="str">
        <f t="shared" si="2"/>
        <v>060829 - CAISSE EN L</v>
      </c>
      <c r="K14" s="55">
        <f t="shared" si="3"/>
        <v>36.10278875</v>
      </c>
      <c r="L14" s="56">
        <v>19.782349999999997</v>
      </c>
      <c r="M14" s="57">
        <f t="shared" si="4"/>
        <v>36.10278875</v>
      </c>
      <c r="N14" s="47" t="s">
        <v>42</v>
      </c>
      <c r="O14" s="47" t="s">
        <v>43</v>
      </c>
      <c r="P14" s="47" t="s">
        <v>44</v>
      </c>
      <c r="Q14" s="55" t="str">
        <f t="shared" si="5"/>
        <v>50*100</v>
      </c>
      <c r="R14" s="58">
        <v>0.0</v>
      </c>
      <c r="S14" s="59">
        <v>0.0</v>
      </c>
      <c r="T14" s="59">
        <v>0.0</v>
      </c>
      <c r="U14" s="59">
        <v>0.0</v>
      </c>
      <c r="V14" s="47" t="s">
        <v>45</v>
      </c>
      <c r="W14" s="55" t="str">
        <f t="shared" si="6"/>
        <v>BLANC - 50*100 - PAS DE REHAUSSE - (Largeur bord arrière 39mm Profondeur 35mm Largeur bord visible 10mm)</v>
      </c>
      <c r="X14" s="58">
        <v>0.0</v>
      </c>
      <c r="Y14" s="60" t="s">
        <v>46</v>
      </c>
      <c r="Z14" s="55" t="str">
        <f t="shared" si="7"/>
        <v>CAISSE EN L (34x39) BLANCHE 50*100 PAS DE VITRE</v>
      </c>
      <c r="AA14" s="47" t="s">
        <v>47</v>
      </c>
      <c r="AB14" s="47" t="s">
        <v>48</v>
      </c>
      <c r="AC14" s="55" t="str">
        <f t="shared" si="8"/>
        <v>CAISSE EN L (34x39) BLANCHE 50*100 PAS DE VITRE</v>
      </c>
      <c r="AD14" s="47" t="s">
        <v>49</v>
      </c>
      <c r="AE14" s="47" t="str">
        <f t="shared" si="9"/>
        <v>MARILYN  50*100 BLANC PAS DE VITRE PAS DE REHAUSSE - CAISSES AMERICAINES - Pas de passepartout - Dos classique sans chevalet (Largeur bord arrière 39mm Profondeur 35mm Largeur bord visible 10mm)</v>
      </c>
      <c r="AF14" s="47" t="str">
        <f t="shared" si="1"/>
        <v>MARILYN  50*100 BLANC PAS DE VITRE PAS DE REHAUSSE - CAISSES AMERICAINES - Pas de passepartout - Dos classique sans chevalet (Largeur bord arrière 39mm Profondeur 35mm Largeur bord visible 10mm)</v>
      </c>
      <c r="AG14" s="61">
        <f t="shared" si="10"/>
        <v>34.42331279</v>
      </c>
      <c r="AH14" s="62">
        <v>19.49</v>
      </c>
      <c r="AI14" s="47"/>
      <c r="AJ14" s="47"/>
      <c r="AK14" s="47"/>
      <c r="AL14" s="47"/>
      <c r="AM14" s="47"/>
      <c r="AN14" s="47"/>
      <c r="AO14" s="47"/>
    </row>
    <row r="15" ht="15.75" customHeight="1">
      <c r="A15" s="47">
        <v>1245.0</v>
      </c>
      <c r="B15" s="48" t="s">
        <v>70</v>
      </c>
      <c r="C15" s="49" t="s">
        <v>39</v>
      </c>
      <c r="D15" s="50" t="s">
        <v>71</v>
      </c>
      <c r="E15" s="51">
        <v>345707.0</v>
      </c>
      <c r="F15" s="52" t="s">
        <v>71</v>
      </c>
      <c r="G15" s="53">
        <v>8.0</v>
      </c>
      <c r="H15" s="63">
        <v>5.445437915371319</v>
      </c>
      <c r="I15" s="55" t="s">
        <v>41</v>
      </c>
      <c r="J15" s="47" t="str">
        <f t="shared" si="2"/>
        <v>060864 - CAISSE EN L</v>
      </c>
      <c r="K15" s="55">
        <f t="shared" si="3"/>
        <v>10.28068125</v>
      </c>
      <c r="L15" s="56">
        <v>5.633249999999999</v>
      </c>
      <c r="M15" s="57">
        <f t="shared" si="4"/>
        <v>10.28068125</v>
      </c>
      <c r="N15" s="47" t="s">
        <v>42</v>
      </c>
      <c r="O15" s="47" t="s">
        <v>43</v>
      </c>
      <c r="P15" s="47" t="s">
        <v>72</v>
      </c>
      <c r="Q15" s="55" t="str">
        <f t="shared" si="5"/>
        <v>20*20</v>
      </c>
      <c r="R15" s="58">
        <v>0.0</v>
      </c>
      <c r="S15" s="59">
        <v>0.0</v>
      </c>
      <c r="T15" s="59">
        <v>0.0</v>
      </c>
      <c r="U15" s="59">
        <v>0.0</v>
      </c>
      <c r="V15" s="47" t="s">
        <v>45</v>
      </c>
      <c r="W15" s="55" t="str">
        <f t="shared" si="6"/>
        <v>BRUT - 20*20 - PAS DE REHAUSSE - (Largeur bord arrière 39mm Profondeur 35mm Largeur bord visible 10mm)</v>
      </c>
      <c r="X15" s="58">
        <v>0.0</v>
      </c>
      <c r="Y15" s="60" t="s">
        <v>46</v>
      </c>
      <c r="Z15" s="55" t="str">
        <f t="shared" si="7"/>
        <v>CAISSE EN L (34x39) BRUTE 20*20 PAS DE VITRE</v>
      </c>
      <c r="AA15" s="47" t="s">
        <v>47</v>
      </c>
      <c r="AB15" s="47" t="s">
        <v>48</v>
      </c>
      <c r="AC15" s="55" t="str">
        <f t="shared" si="8"/>
        <v>CAISSE EN L (34x39) BRUTE 20*20 PAS DE VITRE</v>
      </c>
      <c r="AD15" s="47" t="s">
        <v>49</v>
      </c>
      <c r="AE15" s="47" t="str">
        <f t="shared" si="9"/>
        <v>MARILYN  20*20 BRUT PAS DE VITRE PAS DE REHAUSSE - CAISSES AMERICAINES - Pas de passepartout - Dos classique sans chevalet (Largeur bord arrière 39mm Profondeur 35mm Largeur bord visible 10mm)</v>
      </c>
      <c r="AF15" s="47" t="str">
        <f t="shared" si="1"/>
        <v>MARILYN  20*20 BRUT PAS DE VITRE PAS DE REHAUSSE - CAISSES AMERICAINES - Pas de passepartout - Dos classique sans chevalet (Largeur bord arrière 39mm Profondeur 35mm Largeur bord visible 10mm)</v>
      </c>
      <c r="AG15" s="61">
        <f t="shared" si="10"/>
        <v>9.801788248</v>
      </c>
      <c r="AH15" s="62">
        <v>5.55</v>
      </c>
      <c r="AI15" s="47"/>
      <c r="AJ15" s="47"/>
      <c r="AK15" s="47"/>
      <c r="AL15" s="47"/>
      <c r="AM15" s="47"/>
      <c r="AN15" s="47"/>
      <c r="AO15" s="47"/>
    </row>
    <row r="16" ht="15.75" customHeight="1">
      <c r="A16" s="47">
        <v>1246.0</v>
      </c>
      <c r="B16" s="48" t="s">
        <v>70</v>
      </c>
      <c r="C16" s="49" t="s">
        <v>50</v>
      </c>
      <c r="D16" s="50" t="s">
        <v>73</v>
      </c>
      <c r="E16" s="51">
        <v>345707.0</v>
      </c>
      <c r="F16" s="52" t="s">
        <v>73</v>
      </c>
      <c r="G16" s="53">
        <v>5.0</v>
      </c>
      <c r="H16" s="63">
        <v>7.301747631757248</v>
      </c>
      <c r="I16" s="55" t="s">
        <v>41</v>
      </c>
      <c r="J16" s="47" t="str">
        <f t="shared" si="2"/>
        <v>060865 - CAISSE EN L</v>
      </c>
      <c r="K16" s="55">
        <f t="shared" si="3"/>
        <v>13.78167</v>
      </c>
      <c r="L16" s="56">
        <v>7.5516</v>
      </c>
      <c r="M16" s="57">
        <f t="shared" si="4"/>
        <v>13.78167</v>
      </c>
      <c r="N16" s="47" t="s">
        <v>42</v>
      </c>
      <c r="O16" s="47" t="s">
        <v>43</v>
      </c>
      <c r="P16" s="47" t="s">
        <v>72</v>
      </c>
      <c r="Q16" s="55" t="str">
        <f t="shared" si="5"/>
        <v>30*30</v>
      </c>
      <c r="R16" s="58">
        <v>0.0</v>
      </c>
      <c r="S16" s="59">
        <v>0.0</v>
      </c>
      <c r="T16" s="59">
        <v>0.0</v>
      </c>
      <c r="U16" s="59">
        <v>0.0</v>
      </c>
      <c r="V16" s="47" t="s">
        <v>45</v>
      </c>
      <c r="W16" s="55" t="str">
        <f t="shared" si="6"/>
        <v>BRUT - 30*30 - PAS DE REHAUSSE - (Largeur bord arrière 39mm Profondeur 35mm Largeur bord visible 10mm)</v>
      </c>
      <c r="X16" s="58">
        <v>0.0</v>
      </c>
      <c r="Y16" s="60" t="s">
        <v>46</v>
      </c>
      <c r="Z16" s="55" t="str">
        <f t="shared" si="7"/>
        <v>CAISSE EN L (34x39) BRUTE 30*30 PAS DE VITRE</v>
      </c>
      <c r="AA16" s="47" t="s">
        <v>47</v>
      </c>
      <c r="AB16" s="47" t="s">
        <v>48</v>
      </c>
      <c r="AC16" s="55" t="str">
        <f t="shared" si="8"/>
        <v>CAISSE EN L (34x39) BRUTE 30*30 PAS DE VITRE</v>
      </c>
      <c r="AD16" s="47" t="s">
        <v>49</v>
      </c>
      <c r="AE16" s="47" t="str">
        <f t="shared" si="9"/>
        <v>MARILYN  30*30 BRUT PAS DE VITRE PAS DE REHAUSSE - CAISSES AMERICAINES - Pas de passepartout - Dos classique sans chevalet (Largeur bord arrière 39mm Profondeur 35mm Largeur bord visible 10mm)</v>
      </c>
      <c r="AF16" s="47" t="str">
        <f t="shared" si="1"/>
        <v>MARILYN  30*30 BRUT PAS DE VITRE PAS DE REHAUSSE - CAISSES AMERICAINES - Pas de passepartout - Dos classique sans chevalet (Largeur bord arrière 39mm Profondeur 35mm Largeur bord visible 10mm)</v>
      </c>
      <c r="AG16" s="61">
        <f t="shared" si="10"/>
        <v>13.14314574</v>
      </c>
      <c r="AH16" s="62">
        <v>7.44</v>
      </c>
      <c r="AI16" s="47"/>
      <c r="AJ16" s="47"/>
      <c r="AK16" s="47"/>
      <c r="AL16" s="47"/>
      <c r="AM16" s="47"/>
      <c r="AN16" s="47"/>
      <c r="AO16" s="47"/>
    </row>
    <row r="17" ht="15.75" customHeight="1">
      <c r="A17" s="47">
        <v>1247.0</v>
      </c>
      <c r="B17" s="48" t="s">
        <v>70</v>
      </c>
      <c r="C17" s="49" t="s">
        <v>52</v>
      </c>
      <c r="D17" s="50" t="s">
        <v>74</v>
      </c>
      <c r="E17" s="51">
        <v>345707.0</v>
      </c>
      <c r="F17" s="52" t="s">
        <v>74</v>
      </c>
      <c r="G17" s="53">
        <v>2.0</v>
      </c>
      <c r="H17" s="63">
        <v>9.192214497913904</v>
      </c>
      <c r="I17" s="55" t="s">
        <v>41</v>
      </c>
      <c r="J17" s="47" t="str">
        <f t="shared" si="2"/>
        <v>060866 - CAISSE EN L</v>
      </c>
      <c r="K17" s="55">
        <f t="shared" si="3"/>
        <v>17.35675375</v>
      </c>
      <c r="L17" s="56">
        <v>9.510549999999999</v>
      </c>
      <c r="M17" s="57">
        <f t="shared" si="4"/>
        <v>17.35675375</v>
      </c>
      <c r="N17" s="47" t="s">
        <v>42</v>
      </c>
      <c r="O17" s="47" t="s">
        <v>43</v>
      </c>
      <c r="P17" s="47" t="s">
        <v>72</v>
      </c>
      <c r="Q17" s="55" t="str">
        <f t="shared" si="5"/>
        <v>40*40</v>
      </c>
      <c r="R17" s="58">
        <v>0.0</v>
      </c>
      <c r="S17" s="59">
        <v>0.0</v>
      </c>
      <c r="T17" s="59">
        <v>0.0</v>
      </c>
      <c r="U17" s="59">
        <v>0.0</v>
      </c>
      <c r="V17" s="47" t="s">
        <v>45</v>
      </c>
      <c r="W17" s="55" t="str">
        <f t="shared" si="6"/>
        <v>BRUT - 40*40 - PAS DE REHAUSSE - (Largeur bord arrière 39mm Profondeur 35mm Largeur bord visible 10mm)</v>
      </c>
      <c r="X17" s="58">
        <v>0.0</v>
      </c>
      <c r="Y17" s="60" t="s">
        <v>46</v>
      </c>
      <c r="Z17" s="55" t="str">
        <f t="shared" si="7"/>
        <v>CAISSE EN L (34x39) BRUTE 40*40 PAS DE VITRE</v>
      </c>
      <c r="AA17" s="47" t="s">
        <v>47</v>
      </c>
      <c r="AB17" s="47" t="s">
        <v>48</v>
      </c>
      <c r="AC17" s="55" t="str">
        <f t="shared" si="8"/>
        <v>CAISSE EN L (34x39) BRUTE 40*40 PAS DE VITRE</v>
      </c>
      <c r="AD17" s="47" t="s">
        <v>49</v>
      </c>
      <c r="AE17" s="47" t="str">
        <f t="shared" si="9"/>
        <v>MARILYN  40*40 BRUT PAS DE VITRE PAS DE REHAUSSE - CAISSES AMERICAINES - Pas de passepartout - Dos classique sans chevalet (Largeur bord arrière 39mm Profondeur 35mm Largeur bord visible 10mm)</v>
      </c>
      <c r="AF17" s="47" t="str">
        <f t="shared" si="1"/>
        <v>MARILYN  40*40 BRUT PAS DE VITRE PAS DE REHAUSSE - CAISSES AMERICAINES - Pas de passepartout - Dos classique sans chevalet (Largeur bord arrière 39mm Profondeur 35mm Largeur bord visible 10mm)</v>
      </c>
      <c r="AG17" s="61">
        <f t="shared" si="10"/>
        <v>16.5459861</v>
      </c>
      <c r="AH17" s="62">
        <v>9.37</v>
      </c>
      <c r="AI17" s="47"/>
      <c r="AJ17" s="47"/>
      <c r="AK17" s="47"/>
      <c r="AL17" s="47"/>
      <c r="AM17" s="47"/>
      <c r="AN17" s="47"/>
      <c r="AO17" s="47"/>
    </row>
    <row r="18" ht="15.75" customHeight="1">
      <c r="A18" s="47">
        <v>1248.0</v>
      </c>
      <c r="B18" s="48" t="s">
        <v>70</v>
      </c>
      <c r="C18" s="49" t="s">
        <v>54</v>
      </c>
      <c r="D18" s="50" t="s">
        <v>75</v>
      </c>
      <c r="E18" s="51">
        <v>345707.0</v>
      </c>
      <c r="F18" s="52" t="s">
        <v>75</v>
      </c>
      <c r="G18" s="53">
        <v>9.0</v>
      </c>
      <c r="H18" s="63">
        <v>11.12077972343021</v>
      </c>
      <c r="I18" s="55" t="s">
        <v>41</v>
      </c>
      <c r="J18" s="47" t="str">
        <f t="shared" si="2"/>
        <v>060867 - CAISSE EN L</v>
      </c>
      <c r="K18" s="55">
        <f t="shared" si="3"/>
        <v>20.98740875</v>
      </c>
      <c r="L18" s="56">
        <v>11.499949999999998</v>
      </c>
      <c r="M18" s="57">
        <f t="shared" si="4"/>
        <v>20.98740875</v>
      </c>
      <c r="N18" s="47" t="s">
        <v>42</v>
      </c>
      <c r="O18" s="47" t="s">
        <v>43</v>
      </c>
      <c r="P18" s="47" t="s">
        <v>72</v>
      </c>
      <c r="Q18" s="55" t="str">
        <f t="shared" si="5"/>
        <v>50*50</v>
      </c>
      <c r="R18" s="58">
        <v>0.0</v>
      </c>
      <c r="S18" s="59">
        <v>0.0</v>
      </c>
      <c r="T18" s="59">
        <v>0.0</v>
      </c>
      <c r="U18" s="59">
        <v>0.0</v>
      </c>
      <c r="V18" s="47" t="s">
        <v>45</v>
      </c>
      <c r="W18" s="55" t="str">
        <f t="shared" si="6"/>
        <v>BRUT - 50*50 - PAS DE REHAUSSE - (Largeur bord arrière 39mm Profondeur 35mm Largeur bord visible 10mm)</v>
      </c>
      <c r="X18" s="58">
        <v>0.0</v>
      </c>
      <c r="Y18" s="60" t="s">
        <v>46</v>
      </c>
      <c r="Z18" s="55" t="str">
        <f t="shared" si="7"/>
        <v>CAISSE EN L (34x39) BRUTE 50*50 PAS DE VITRE</v>
      </c>
      <c r="AA18" s="47" t="s">
        <v>47</v>
      </c>
      <c r="AB18" s="47" t="s">
        <v>48</v>
      </c>
      <c r="AC18" s="55" t="str">
        <f t="shared" si="8"/>
        <v>CAISSE EN L (34x39) BRUTE 50*50 PAS DE VITRE</v>
      </c>
      <c r="AD18" s="47" t="s">
        <v>49</v>
      </c>
      <c r="AE18" s="47" t="str">
        <f t="shared" si="9"/>
        <v>MARILYN  50*50 BRUT PAS DE VITRE PAS DE REHAUSSE - CAISSES AMERICAINES - Pas de passepartout - Dos classique sans chevalet (Largeur bord arrière 39mm Profondeur 35mm Largeur bord visible 10mm)</v>
      </c>
      <c r="AF18" s="47" t="str">
        <f t="shared" si="1"/>
        <v>MARILYN  50*50 BRUT PAS DE VITRE PAS DE REHAUSSE - CAISSES AMERICAINES - Pas de passepartout - Dos classique sans chevalet (Largeur bord arrière 39mm Profondeur 35mm Largeur bord visible 10mm)</v>
      </c>
      <c r="AG18" s="61">
        <f t="shared" si="10"/>
        <v>20.0174035</v>
      </c>
      <c r="AH18" s="62">
        <v>11.33</v>
      </c>
      <c r="AI18" s="47"/>
      <c r="AJ18" s="47"/>
      <c r="AK18" s="47"/>
      <c r="AL18" s="47"/>
      <c r="AM18" s="47"/>
      <c r="AN18" s="47"/>
      <c r="AO18" s="47"/>
    </row>
    <row r="19" ht="15.75" customHeight="1">
      <c r="A19" s="47">
        <v>1249.0</v>
      </c>
      <c r="B19" s="48" t="s">
        <v>70</v>
      </c>
      <c r="C19" s="49" t="s">
        <v>56</v>
      </c>
      <c r="D19" s="50" t="s">
        <v>76</v>
      </c>
      <c r="E19" s="51">
        <v>345707.0</v>
      </c>
      <c r="F19" s="52" t="s">
        <v>76</v>
      </c>
      <c r="G19" s="53">
        <v>6.0</v>
      </c>
      <c r="H19" s="63">
        <v>13.350190614234828</v>
      </c>
      <c r="I19" s="55" t="s">
        <v>41</v>
      </c>
      <c r="J19" s="47" t="str">
        <f t="shared" si="2"/>
        <v>060868 - CAISSE EN L</v>
      </c>
      <c r="K19" s="55">
        <f t="shared" si="3"/>
        <v>25.1923</v>
      </c>
      <c r="L19" s="56">
        <v>13.803999999999998</v>
      </c>
      <c r="M19" s="57">
        <f t="shared" si="4"/>
        <v>25.1923</v>
      </c>
      <c r="N19" s="47" t="s">
        <v>42</v>
      </c>
      <c r="O19" s="47" t="s">
        <v>43</v>
      </c>
      <c r="P19" s="47" t="s">
        <v>72</v>
      </c>
      <c r="Q19" s="55" t="str">
        <f t="shared" si="5"/>
        <v>60*60</v>
      </c>
      <c r="R19" s="58">
        <v>0.0</v>
      </c>
      <c r="S19" s="59">
        <v>0.0</v>
      </c>
      <c r="T19" s="59">
        <v>0.0</v>
      </c>
      <c r="U19" s="59">
        <v>0.0</v>
      </c>
      <c r="V19" s="47" t="s">
        <v>45</v>
      </c>
      <c r="W19" s="55" t="str">
        <f t="shared" si="6"/>
        <v>BRUT - 60*60 - PAS DE REHAUSSE - (Largeur bord arrière 39mm Profondeur 35mm Largeur bord visible 10mm)</v>
      </c>
      <c r="X19" s="58">
        <v>0.0</v>
      </c>
      <c r="Y19" s="60" t="s">
        <v>46</v>
      </c>
      <c r="Z19" s="55" t="str">
        <f t="shared" si="7"/>
        <v>CAISSE EN L (34x39) BRUTE 60*60 PAS DE VITRE</v>
      </c>
      <c r="AA19" s="47" t="s">
        <v>47</v>
      </c>
      <c r="AB19" s="47" t="s">
        <v>48</v>
      </c>
      <c r="AC19" s="55" t="str">
        <f t="shared" si="8"/>
        <v>CAISSE EN L (34x39) BRUTE 60*60 PAS DE VITRE</v>
      </c>
      <c r="AD19" s="47" t="s">
        <v>49</v>
      </c>
      <c r="AE19" s="47" t="str">
        <f t="shared" si="9"/>
        <v>MARILYN  60*60 BRUT PAS DE VITRE PAS DE REHAUSSE - CAISSES AMERICAINES - Pas de passepartout - Dos classique sans chevalet (Largeur bord arrière 39mm Profondeur 35mm Largeur bord visible 10mm)</v>
      </c>
      <c r="AF19" s="47" t="str">
        <f t="shared" si="1"/>
        <v>MARILYN  60*60 BRUT PAS DE VITRE PAS DE REHAUSSE - CAISSES AMERICAINES - Pas de passepartout - Dos classique sans chevalet (Largeur bord arrière 39mm Profondeur 35mm Largeur bord visible 10mm)</v>
      </c>
      <c r="AG19" s="61">
        <f t="shared" si="10"/>
        <v>24.03034311</v>
      </c>
      <c r="AH19" s="62">
        <v>13.6</v>
      </c>
      <c r="AI19" s="47"/>
      <c r="AJ19" s="47"/>
      <c r="AK19" s="47"/>
      <c r="AL19" s="47"/>
      <c r="AM19" s="47"/>
      <c r="AN19" s="47"/>
      <c r="AO19" s="47"/>
    </row>
    <row r="20" ht="15.75" customHeight="1">
      <c r="A20" s="47">
        <v>1250.0</v>
      </c>
      <c r="B20" s="48" t="s">
        <v>70</v>
      </c>
      <c r="C20" s="49" t="s">
        <v>58</v>
      </c>
      <c r="D20" s="50" t="s">
        <v>77</v>
      </c>
      <c r="E20" s="51">
        <v>345707.0</v>
      </c>
      <c r="F20" s="52" t="s">
        <v>77</v>
      </c>
      <c r="G20" s="53">
        <v>3.0</v>
      </c>
      <c r="H20" s="63">
        <v>15.444286642486183</v>
      </c>
      <c r="I20" s="55" t="s">
        <v>41</v>
      </c>
      <c r="J20" s="47" t="str">
        <f t="shared" si="2"/>
        <v>060869 - CAISSE EN L</v>
      </c>
      <c r="K20" s="55">
        <f t="shared" si="3"/>
        <v>29.1563825</v>
      </c>
      <c r="L20" s="56">
        <v>15.976099999999999</v>
      </c>
      <c r="M20" s="57">
        <f t="shared" si="4"/>
        <v>29.1563825</v>
      </c>
      <c r="N20" s="47" t="s">
        <v>42</v>
      </c>
      <c r="O20" s="47" t="s">
        <v>43</v>
      </c>
      <c r="P20" s="47" t="s">
        <v>72</v>
      </c>
      <c r="Q20" s="55" t="str">
        <f t="shared" si="5"/>
        <v>70*70</v>
      </c>
      <c r="R20" s="58">
        <v>0.0</v>
      </c>
      <c r="S20" s="59">
        <v>0.0</v>
      </c>
      <c r="T20" s="59">
        <v>0.0</v>
      </c>
      <c r="U20" s="59">
        <v>0.0</v>
      </c>
      <c r="V20" s="47" t="s">
        <v>45</v>
      </c>
      <c r="W20" s="55" t="str">
        <f t="shared" si="6"/>
        <v>BRUT - 70*70 - PAS DE REHAUSSE - (Largeur bord arrière 39mm Profondeur 35mm Largeur bord visible 10mm)</v>
      </c>
      <c r="X20" s="58">
        <v>0.0</v>
      </c>
      <c r="Y20" s="60" t="s">
        <v>46</v>
      </c>
      <c r="Z20" s="55" t="str">
        <f t="shared" si="7"/>
        <v>CAISSE EN L (34x39) BRUTE 70*70 PAS DE VITRE</v>
      </c>
      <c r="AA20" s="47" t="s">
        <v>47</v>
      </c>
      <c r="AB20" s="47" t="s">
        <v>48</v>
      </c>
      <c r="AC20" s="55" t="str">
        <f t="shared" si="8"/>
        <v>CAISSE EN L (34x39) BRUTE 70*70 PAS DE VITRE</v>
      </c>
      <c r="AD20" s="47" t="s">
        <v>49</v>
      </c>
      <c r="AE20" s="47" t="str">
        <f t="shared" si="9"/>
        <v>MARILYN  70*70 BRUT PAS DE VITRE PAS DE REHAUSSE - CAISSES AMERICAINES - Pas de passepartout - Dos classique sans chevalet (Largeur bord arrière 39mm Profondeur 35mm Largeur bord visible 10mm)</v>
      </c>
      <c r="AF20" s="47" t="str">
        <f t="shared" si="1"/>
        <v>MARILYN  70*70 BRUT PAS DE VITRE PAS DE REHAUSSE - CAISSES AMERICAINES - Pas de passepartout - Dos classique sans chevalet (Largeur bord arrière 39mm Profondeur 35mm Largeur bord visible 10mm)</v>
      </c>
      <c r="AG20" s="61">
        <f t="shared" si="10"/>
        <v>27.79971596</v>
      </c>
      <c r="AH20" s="62">
        <v>15.74</v>
      </c>
      <c r="AI20" s="47"/>
      <c r="AJ20" s="47"/>
      <c r="AK20" s="47"/>
      <c r="AL20" s="47"/>
      <c r="AM20" s="47"/>
      <c r="AN20" s="47"/>
      <c r="AO20" s="47"/>
    </row>
    <row r="21" ht="15.75" customHeight="1">
      <c r="A21" s="47">
        <v>1251.0</v>
      </c>
      <c r="B21" s="48" t="s">
        <v>70</v>
      </c>
      <c r="C21" s="49" t="s">
        <v>60</v>
      </c>
      <c r="D21" s="50" t="s">
        <v>78</v>
      </c>
      <c r="E21" s="51">
        <v>345707.0</v>
      </c>
      <c r="F21" s="52" t="s">
        <v>78</v>
      </c>
      <c r="G21" s="53">
        <v>9.0</v>
      </c>
      <c r="H21" s="63">
        <v>17.94826846798624</v>
      </c>
      <c r="I21" s="55" t="s">
        <v>41</v>
      </c>
      <c r="J21" s="47" t="str">
        <f t="shared" si="2"/>
        <v>060870 - CAISSE EN L</v>
      </c>
      <c r="K21" s="55">
        <f t="shared" si="3"/>
        <v>33.87993875</v>
      </c>
      <c r="L21" s="56">
        <v>18.564349999999997</v>
      </c>
      <c r="M21" s="57">
        <f t="shared" si="4"/>
        <v>33.87993875</v>
      </c>
      <c r="N21" s="47" t="s">
        <v>42</v>
      </c>
      <c r="O21" s="47" t="s">
        <v>43</v>
      </c>
      <c r="P21" s="47" t="s">
        <v>72</v>
      </c>
      <c r="Q21" s="55" t="str">
        <f t="shared" si="5"/>
        <v>80*80</v>
      </c>
      <c r="R21" s="58">
        <v>0.0</v>
      </c>
      <c r="S21" s="59">
        <v>0.0</v>
      </c>
      <c r="T21" s="59">
        <v>0.0</v>
      </c>
      <c r="U21" s="59">
        <v>0.0</v>
      </c>
      <c r="V21" s="47" t="s">
        <v>45</v>
      </c>
      <c r="W21" s="55" t="str">
        <f t="shared" si="6"/>
        <v>BRUT - 80*80 - PAS DE REHAUSSE - (Largeur bord arrière 39mm Profondeur 35mm Largeur bord visible 10mm)</v>
      </c>
      <c r="X21" s="58">
        <v>0.0</v>
      </c>
      <c r="Y21" s="60" t="s">
        <v>46</v>
      </c>
      <c r="Z21" s="55" t="str">
        <f t="shared" si="7"/>
        <v>CAISSE EN L (34x39) BRUTE 80*80 PAS DE VITRE</v>
      </c>
      <c r="AA21" s="47" t="s">
        <v>47</v>
      </c>
      <c r="AB21" s="47" t="s">
        <v>48</v>
      </c>
      <c r="AC21" s="55" t="str">
        <f t="shared" si="8"/>
        <v>CAISSE EN L (34x39) BRUTE 80*80 PAS DE VITRE</v>
      </c>
      <c r="AD21" s="47" t="s">
        <v>49</v>
      </c>
      <c r="AE21" s="47" t="str">
        <f t="shared" si="9"/>
        <v>MARILYN  80*80 BRUT PAS DE VITRE PAS DE REHAUSSE - CAISSES AMERICAINES - Pas de passepartout - Dos classique sans chevalet (Largeur bord arrière 39mm Profondeur 35mm Largeur bord visible 10mm)</v>
      </c>
      <c r="AF21" s="47" t="str">
        <f t="shared" si="1"/>
        <v>MARILYN  80*80 BRUT PAS DE VITRE PAS DE REHAUSSE - CAISSES AMERICAINES - Pas de passepartout - Dos classique sans chevalet (Largeur bord arrière 39mm Profondeur 35mm Largeur bord visible 10mm)</v>
      </c>
      <c r="AG21" s="61">
        <f t="shared" si="10"/>
        <v>32.30688324</v>
      </c>
      <c r="AH21" s="62">
        <v>18.29</v>
      </c>
      <c r="AI21" s="47"/>
      <c r="AJ21" s="47"/>
      <c r="AK21" s="47"/>
      <c r="AL21" s="47"/>
      <c r="AM21" s="47"/>
      <c r="AN21" s="47"/>
      <c r="AO21" s="47"/>
    </row>
    <row r="22" ht="15.75" customHeight="1">
      <c r="A22" s="47">
        <v>1252.0</v>
      </c>
      <c r="B22" s="48" t="s">
        <v>70</v>
      </c>
      <c r="C22" s="49" t="s">
        <v>62</v>
      </c>
      <c r="D22" s="50" t="s">
        <v>79</v>
      </c>
      <c r="E22" s="51">
        <v>345707.0</v>
      </c>
      <c r="F22" s="52" t="s">
        <v>79</v>
      </c>
      <c r="G22" s="53">
        <v>6.0</v>
      </c>
      <c r="H22" s="63">
        <v>7.301747631757248</v>
      </c>
      <c r="I22" s="55" t="s">
        <v>41</v>
      </c>
      <c r="J22" s="47" t="str">
        <f t="shared" si="2"/>
        <v>060871 - CAISSE EN L</v>
      </c>
      <c r="K22" s="55">
        <f t="shared" si="3"/>
        <v>13.78167</v>
      </c>
      <c r="L22" s="56">
        <v>7.5516</v>
      </c>
      <c r="M22" s="57">
        <f t="shared" si="4"/>
        <v>13.78167</v>
      </c>
      <c r="N22" s="47" t="s">
        <v>42</v>
      </c>
      <c r="O22" s="47" t="s">
        <v>43</v>
      </c>
      <c r="P22" s="47" t="s">
        <v>72</v>
      </c>
      <c r="Q22" s="55" t="str">
        <f t="shared" si="5"/>
        <v>20*40</v>
      </c>
      <c r="R22" s="58">
        <v>0.0</v>
      </c>
      <c r="S22" s="59">
        <v>0.0</v>
      </c>
      <c r="T22" s="59">
        <v>0.0</v>
      </c>
      <c r="U22" s="59">
        <v>0.0</v>
      </c>
      <c r="V22" s="47" t="s">
        <v>45</v>
      </c>
      <c r="W22" s="55" t="str">
        <f t="shared" si="6"/>
        <v>BRUT - 20*40 - PAS DE REHAUSSE - (Largeur bord arrière 39mm Profondeur 35mm Largeur bord visible 10mm)</v>
      </c>
      <c r="X22" s="58">
        <v>0.0</v>
      </c>
      <c r="Y22" s="60" t="s">
        <v>46</v>
      </c>
      <c r="Z22" s="55" t="str">
        <f t="shared" si="7"/>
        <v>CAISSE EN L (34x39) BRUTE 20*40 PAS DE VITRE</v>
      </c>
      <c r="AA22" s="47" t="s">
        <v>47</v>
      </c>
      <c r="AB22" s="47" t="s">
        <v>48</v>
      </c>
      <c r="AC22" s="55" t="str">
        <f t="shared" si="8"/>
        <v>CAISSE EN L (34x39) BRUTE 20*40 PAS DE VITRE</v>
      </c>
      <c r="AD22" s="47" t="s">
        <v>49</v>
      </c>
      <c r="AE22" s="47" t="str">
        <f t="shared" si="9"/>
        <v>MARILYN  20*40 BRUT PAS DE VITRE PAS DE REHAUSSE - CAISSES AMERICAINES - Pas de passepartout - Dos classique sans chevalet (Largeur bord arrière 39mm Profondeur 35mm Largeur bord visible 10mm)</v>
      </c>
      <c r="AF22" s="47" t="str">
        <f t="shared" si="1"/>
        <v>MARILYN  20*40 BRUT PAS DE VITRE PAS DE REHAUSSE - CAISSES AMERICAINES - Pas de passepartout - Dos classique sans chevalet (Largeur bord arrière 39mm Profondeur 35mm Largeur bord visible 10mm)</v>
      </c>
      <c r="AG22" s="61">
        <f t="shared" si="10"/>
        <v>13.14314574</v>
      </c>
      <c r="AH22" s="62">
        <v>7.44</v>
      </c>
      <c r="AI22" s="47"/>
      <c r="AJ22" s="47"/>
      <c r="AK22" s="47"/>
      <c r="AL22" s="47"/>
      <c r="AM22" s="47"/>
      <c r="AN22" s="47"/>
      <c r="AO22" s="47"/>
    </row>
    <row r="23" ht="15.75" customHeight="1">
      <c r="A23" s="47">
        <v>1253.0</v>
      </c>
      <c r="B23" s="48" t="s">
        <v>70</v>
      </c>
      <c r="C23" s="49" t="s">
        <v>64</v>
      </c>
      <c r="D23" s="50" t="s">
        <v>80</v>
      </c>
      <c r="E23" s="51">
        <v>345707.0</v>
      </c>
      <c r="F23" s="52" t="s">
        <v>80</v>
      </c>
      <c r="G23" s="53">
        <v>3.0</v>
      </c>
      <c r="H23" s="63">
        <v>10.251086140806372</v>
      </c>
      <c r="I23" s="55" t="s">
        <v>41</v>
      </c>
      <c r="J23" s="47" t="str">
        <f t="shared" si="2"/>
        <v>060872 - CAISSE EN L</v>
      </c>
      <c r="K23" s="55">
        <f t="shared" si="3"/>
        <v>19.35731875</v>
      </c>
      <c r="L23" s="56">
        <v>10.606749999999998</v>
      </c>
      <c r="M23" s="57">
        <f t="shared" si="4"/>
        <v>19.35731875</v>
      </c>
      <c r="N23" s="47" t="s">
        <v>42</v>
      </c>
      <c r="O23" s="47" t="s">
        <v>43</v>
      </c>
      <c r="P23" s="47" t="s">
        <v>72</v>
      </c>
      <c r="Q23" s="55" t="str">
        <f t="shared" si="5"/>
        <v>30*60</v>
      </c>
      <c r="R23" s="58">
        <v>0.0</v>
      </c>
      <c r="S23" s="59">
        <v>0.0</v>
      </c>
      <c r="T23" s="59">
        <v>0.0</v>
      </c>
      <c r="U23" s="59">
        <v>0.0</v>
      </c>
      <c r="V23" s="47" t="s">
        <v>45</v>
      </c>
      <c r="W23" s="55" t="str">
        <f t="shared" si="6"/>
        <v>BRUT - 30*60 - PAS DE REHAUSSE - (Largeur bord arrière 39mm Profondeur 35mm Largeur bord visible 10mm)</v>
      </c>
      <c r="X23" s="58">
        <v>0.0</v>
      </c>
      <c r="Y23" s="60" t="s">
        <v>46</v>
      </c>
      <c r="Z23" s="55" t="str">
        <f t="shared" si="7"/>
        <v>CAISSE EN L (34x39) BRUTE 30*60 PAS DE VITRE</v>
      </c>
      <c r="AA23" s="47" t="s">
        <v>47</v>
      </c>
      <c r="AB23" s="47" t="s">
        <v>48</v>
      </c>
      <c r="AC23" s="55" t="str">
        <f t="shared" si="8"/>
        <v>CAISSE EN L (34x39) BRUTE 30*60 PAS DE VITRE</v>
      </c>
      <c r="AD23" s="47" t="s">
        <v>49</v>
      </c>
      <c r="AE23" s="47" t="str">
        <f t="shared" si="9"/>
        <v>MARILYN  30*60 BRUT PAS DE VITRE PAS DE REHAUSSE - CAISSES AMERICAINES - Pas de passepartout - Dos classique sans chevalet (Largeur bord arrière 39mm Profondeur 35mm Largeur bord visible 10mm)</v>
      </c>
      <c r="AF23" s="47" t="str">
        <f t="shared" si="1"/>
        <v>MARILYN  30*60 BRUT PAS DE VITRE PAS DE REHAUSSE - CAISSES AMERICAINES - Pas de passepartout - Dos classique sans chevalet (Largeur bord arrière 39mm Profondeur 35mm Largeur bord visible 10mm)</v>
      </c>
      <c r="AG23" s="61">
        <f t="shared" si="10"/>
        <v>18.45195505</v>
      </c>
      <c r="AH23" s="62">
        <v>10.45</v>
      </c>
      <c r="AI23" s="47"/>
      <c r="AJ23" s="47"/>
      <c r="AK23" s="47"/>
      <c r="AL23" s="47"/>
      <c r="AM23" s="47"/>
      <c r="AN23" s="47"/>
      <c r="AO23" s="47"/>
    </row>
    <row r="24" ht="15.75" customHeight="1">
      <c r="A24" s="47">
        <v>1254.0</v>
      </c>
      <c r="B24" s="48" t="s">
        <v>70</v>
      </c>
      <c r="C24" s="49" t="s">
        <v>66</v>
      </c>
      <c r="D24" s="50" t="s">
        <v>81</v>
      </c>
      <c r="E24" s="51">
        <v>345707.0</v>
      </c>
      <c r="F24" s="52" t="s">
        <v>81</v>
      </c>
      <c r="G24" s="53">
        <v>0.0</v>
      </c>
      <c r="H24" s="63">
        <v>13.251660374511578</v>
      </c>
      <c r="I24" s="55" t="s">
        <v>41</v>
      </c>
      <c r="J24" s="47" t="str">
        <f t="shared" si="2"/>
        <v>060873 - CAISSE EN L</v>
      </c>
      <c r="K24" s="55">
        <f t="shared" si="3"/>
        <v>25.0070625</v>
      </c>
      <c r="L24" s="56">
        <v>13.702499999999999</v>
      </c>
      <c r="M24" s="57">
        <f t="shared" si="4"/>
        <v>25.0070625</v>
      </c>
      <c r="N24" s="47" t="s">
        <v>42</v>
      </c>
      <c r="O24" s="47" t="s">
        <v>43</v>
      </c>
      <c r="P24" s="47" t="s">
        <v>72</v>
      </c>
      <c r="Q24" s="55" t="str">
        <f t="shared" si="5"/>
        <v>40*80</v>
      </c>
      <c r="R24" s="58">
        <v>0.0</v>
      </c>
      <c r="S24" s="59">
        <v>0.0</v>
      </c>
      <c r="T24" s="59">
        <v>0.0</v>
      </c>
      <c r="U24" s="59">
        <v>0.0</v>
      </c>
      <c r="V24" s="47" t="s">
        <v>45</v>
      </c>
      <c r="W24" s="55" t="str">
        <f t="shared" si="6"/>
        <v>BRUT - 40*80 - PAS DE REHAUSSE - (Largeur bord arrière 39mm Profondeur 35mm Largeur bord visible 10mm)</v>
      </c>
      <c r="X24" s="58">
        <v>0.0</v>
      </c>
      <c r="Y24" s="60" t="s">
        <v>46</v>
      </c>
      <c r="Z24" s="55" t="str">
        <f t="shared" si="7"/>
        <v>CAISSE EN L (34x39) BRUTE 40*80 PAS DE VITRE</v>
      </c>
      <c r="AA24" s="47" t="s">
        <v>47</v>
      </c>
      <c r="AB24" s="47" t="s">
        <v>48</v>
      </c>
      <c r="AC24" s="55" t="str">
        <f t="shared" si="8"/>
        <v>CAISSE EN L (34x39) BRUTE 40*80 PAS DE VITRE</v>
      </c>
      <c r="AD24" s="47" t="s">
        <v>49</v>
      </c>
      <c r="AE24" s="47" t="str">
        <f t="shared" si="9"/>
        <v>MARILYN  40*80 BRUT PAS DE VITRE PAS DE REHAUSSE - CAISSES AMERICAINES - Pas de passepartout - Dos classique sans chevalet (Largeur bord arrière 39mm Profondeur 35mm Largeur bord visible 10mm)</v>
      </c>
      <c r="AF24" s="47" t="str">
        <f t="shared" si="1"/>
        <v>MARILYN  40*80 BRUT PAS DE VITRE PAS DE REHAUSSE - CAISSES AMERICAINES - Pas de passepartout - Dos classique sans chevalet (Largeur bord arrière 39mm Profondeur 35mm Largeur bord visible 10mm)</v>
      </c>
      <c r="AG24" s="61">
        <f t="shared" si="10"/>
        <v>23.85298867</v>
      </c>
      <c r="AH24" s="62">
        <v>13.5</v>
      </c>
      <c r="AI24" s="47"/>
      <c r="AJ24" s="47"/>
      <c r="AK24" s="47"/>
      <c r="AL24" s="47"/>
      <c r="AM24" s="47"/>
      <c r="AN24" s="47"/>
      <c r="AO24" s="47"/>
    </row>
    <row r="25" ht="15.75" customHeight="1">
      <c r="A25" s="47">
        <v>1255.0</v>
      </c>
      <c r="B25" s="48" t="s">
        <v>70</v>
      </c>
      <c r="C25" s="49" t="s">
        <v>68</v>
      </c>
      <c r="D25" s="50" t="s">
        <v>82</v>
      </c>
      <c r="E25" s="51">
        <v>345707.0</v>
      </c>
      <c r="F25" s="52" t="s">
        <v>82</v>
      </c>
      <c r="G25" s="53">
        <v>7.0</v>
      </c>
      <c r="H25" s="63">
        <v>16.352078584469677</v>
      </c>
      <c r="I25" s="55" t="s">
        <v>41</v>
      </c>
      <c r="J25" s="47" t="str">
        <f t="shared" si="2"/>
        <v>060874 - CAISSE EN L</v>
      </c>
      <c r="K25" s="55">
        <f t="shared" si="3"/>
        <v>30.8605675</v>
      </c>
      <c r="L25" s="56">
        <v>16.909899999999997</v>
      </c>
      <c r="M25" s="57">
        <f t="shared" si="4"/>
        <v>30.8605675</v>
      </c>
      <c r="N25" s="47" t="s">
        <v>42</v>
      </c>
      <c r="O25" s="47" t="s">
        <v>43</v>
      </c>
      <c r="P25" s="47" t="s">
        <v>72</v>
      </c>
      <c r="Q25" s="55" t="str">
        <f t="shared" si="5"/>
        <v>50*100</v>
      </c>
      <c r="R25" s="58">
        <v>0.0</v>
      </c>
      <c r="S25" s="59">
        <v>0.0</v>
      </c>
      <c r="T25" s="59">
        <v>0.0</v>
      </c>
      <c r="U25" s="59">
        <v>0.0</v>
      </c>
      <c r="V25" s="47" t="s">
        <v>45</v>
      </c>
      <c r="W25" s="55" t="str">
        <f t="shared" si="6"/>
        <v>BRUT - 50*100 - PAS DE REHAUSSE - (Largeur bord arrière 39mm Profondeur 35mm Largeur bord visible 10mm)</v>
      </c>
      <c r="X25" s="58">
        <v>0.0</v>
      </c>
      <c r="Y25" s="60" t="s">
        <v>46</v>
      </c>
      <c r="Z25" s="55" t="str">
        <f t="shared" si="7"/>
        <v>CAISSE EN L (34x39) BRUTE 50*100 PAS DE VITRE</v>
      </c>
      <c r="AA25" s="47" t="s">
        <v>47</v>
      </c>
      <c r="AB25" s="47" t="s">
        <v>48</v>
      </c>
      <c r="AC25" s="55" t="str">
        <f t="shared" si="8"/>
        <v>CAISSE EN L (34x39) BRUTE 50*100 PAS DE VITRE</v>
      </c>
      <c r="AD25" s="47" t="s">
        <v>49</v>
      </c>
      <c r="AE25" s="47" t="str">
        <f t="shared" si="9"/>
        <v>MARILYN  50*100 BRUT PAS DE VITRE PAS DE REHAUSSE - CAISSES AMERICAINES - Pas de passepartout - Dos classique sans chevalet (Largeur bord arrière 39mm Profondeur 35mm Largeur bord visible 10mm)</v>
      </c>
      <c r="AF25" s="47" t="str">
        <f t="shared" si="1"/>
        <v>MARILYN  50*100 BRUT PAS DE VITRE PAS DE REHAUSSE - CAISSES AMERICAINES - Pas de passepartout - Dos classique sans chevalet (Largeur bord arrière 39mm Profondeur 35mm Largeur bord visible 10mm)</v>
      </c>
      <c r="AG25" s="61">
        <f t="shared" si="10"/>
        <v>29.43374145</v>
      </c>
      <c r="AH25" s="62">
        <v>16.66</v>
      </c>
      <c r="AI25" s="47"/>
      <c r="AJ25" s="47"/>
      <c r="AK25" s="47"/>
      <c r="AL25" s="47"/>
      <c r="AM25" s="47"/>
      <c r="AN25" s="47"/>
      <c r="AO25" s="47"/>
    </row>
    <row r="26" ht="15.75" customHeight="1">
      <c r="A26" s="47">
        <v>1223.0</v>
      </c>
      <c r="B26" s="48" t="s">
        <v>83</v>
      </c>
      <c r="C26" s="49" t="s">
        <v>39</v>
      </c>
      <c r="D26" s="50" t="s">
        <v>84</v>
      </c>
      <c r="E26" s="51">
        <v>345707.0</v>
      </c>
      <c r="F26" s="52" t="s">
        <v>84</v>
      </c>
      <c r="G26" s="53">
        <v>0.0</v>
      </c>
      <c r="H26" s="63">
        <v>6.390014480184826</v>
      </c>
      <c r="I26" s="55" t="s">
        <v>41</v>
      </c>
      <c r="J26" s="47" t="str">
        <f t="shared" si="2"/>
        <v>060774 - CAISSE EN L</v>
      </c>
      <c r="K26" s="55">
        <f t="shared" si="3"/>
        <v>12.05896125</v>
      </c>
      <c r="L26" s="56">
        <v>6.60765</v>
      </c>
      <c r="M26" s="57">
        <f t="shared" si="4"/>
        <v>12.05896125</v>
      </c>
      <c r="N26" s="47" t="s">
        <v>42</v>
      </c>
      <c r="O26" s="47" t="s">
        <v>43</v>
      </c>
      <c r="P26" s="47" t="s">
        <v>85</v>
      </c>
      <c r="Q26" s="55" t="str">
        <f t="shared" si="5"/>
        <v>20*20</v>
      </c>
      <c r="R26" s="58">
        <v>0.0</v>
      </c>
      <c r="S26" s="59">
        <v>0.0</v>
      </c>
      <c r="T26" s="59">
        <v>0.0</v>
      </c>
      <c r="U26" s="59">
        <v>0.0</v>
      </c>
      <c r="V26" s="47" t="s">
        <v>45</v>
      </c>
      <c r="W26" s="55" t="str">
        <f t="shared" si="6"/>
        <v>NOIR - 20*20 - PAS DE REHAUSSE - (Largeur bord arrière 39mm Profondeur 35mm Largeur bord visible 10mm)</v>
      </c>
      <c r="X26" s="58">
        <v>0.0</v>
      </c>
      <c r="Y26" s="60" t="s">
        <v>46</v>
      </c>
      <c r="Z26" s="55" t="str">
        <f t="shared" si="7"/>
        <v>CAISSE EN L (34x39) NOIRE 20*20 PAS DE VITRE</v>
      </c>
      <c r="AA26" s="47" t="s">
        <v>47</v>
      </c>
      <c r="AB26" s="47" t="s">
        <v>48</v>
      </c>
      <c r="AC26" s="55" t="str">
        <f t="shared" si="8"/>
        <v>CAISSE EN L (34x39) NOIRE 20*20 PAS DE VITRE</v>
      </c>
      <c r="AD26" s="47" t="s">
        <v>49</v>
      </c>
      <c r="AE26" s="47" t="str">
        <f t="shared" si="9"/>
        <v>MARILYN  20*20 NOIR PAS DE VITRE PAS DE REHAUSSE - CAISSES AMERICAINES - Pas de passepartout - Dos classique sans chevalet (Largeur bord arrière 39mm Profondeur 35mm Largeur bord visible 10mm)</v>
      </c>
      <c r="AF26" s="47" t="str">
        <f t="shared" si="1"/>
        <v>MARILYN  20*20 NOIR PAS DE VITRE PAS DE REHAUSSE - CAISSES AMERICAINES - Pas de passepartout - Dos classique sans chevalet (Largeur bord arrière 39mm Profondeur 35mm Largeur bord visible 10mm)</v>
      </c>
      <c r="AG26" s="61">
        <f t="shared" si="10"/>
        <v>11.50202606</v>
      </c>
      <c r="AH26" s="62">
        <v>6.51</v>
      </c>
      <c r="AI26" s="47"/>
      <c r="AJ26" s="47"/>
      <c r="AK26" s="47"/>
      <c r="AL26" s="47"/>
      <c r="AM26" s="47"/>
      <c r="AN26" s="47"/>
      <c r="AO26" s="47"/>
    </row>
    <row r="27" ht="15.75" customHeight="1">
      <c r="A27" s="47">
        <v>1224.0</v>
      </c>
      <c r="B27" s="48" t="s">
        <v>83</v>
      </c>
      <c r="C27" s="49" t="s">
        <v>50</v>
      </c>
      <c r="D27" s="50" t="s">
        <v>86</v>
      </c>
      <c r="E27" s="51">
        <v>345707.0</v>
      </c>
      <c r="F27" s="52" t="s">
        <v>86</v>
      </c>
      <c r="G27" s="53">
        <v>7.0</v>
      </c>
      <c r="H27" s="63">
        <v>8.55899349062585</v>
      </c>
      <c r="I27" s="55" t="s">
        <v>41</v>
      </c>
      <c r="J27" s="47" t="str">
        <f t="shared" si="2"/>
        <v>060775 - CAISSE EN L</v>
      </c>
      <c r="K27" s="55">
        <f t="shared" si="3"/>
        <v>16.15271</v>
      </c>
      <c r="L27" s="56">
        <v>8.8508</v>
      </c>
      <c r="M27" s="57">
        <f t="shared" si="4"/>
        <v>16.15271</v>
      </c>
      <c r="N27" s="47" t="s">
        <v>42</v>
      </c>
      <c r="O27" s="47" t="s">
        <v>43</v>
      </c>
      <c r="P27" s="47" t="s">
        <v>85</v>
      </c>
      <c r="Q27" s="55" t="str">
        <f t="shared" si="5"/>
        <v>30*30</v>
      </c>
      <c r="R27" s="58">
        <v>0.0</v>
      </c>
      <c r="S27" s="59">
        <v>0.0</v>
      </c>
      <c r="T27" s="59">
        <v>0.0</v>
      </c>
      <c r="U27" s="59">
        <v>0.0</v>
      </c>
      <c r="V27" s="47" t="s">
        <v>45</v>
      </c>
      <c r="W27" s="55" t="str">
        <f t="shared" si="6"/>
        <v>NOIR - 30*30 - PAS DE REHAUSSE - (Largeur bord arrière 39mm Profondeur 35mm Largeur bord visible 10mm)</v>
      </c>
      <c r="X27" s="58">
        <v>0.0</v>
      </c>
      <c r="Y27" s="60" t="s">
        <v>46</v>
      </c>
      <c r="Z27" s="55" t="str">
        <f t="shared" si="7"/>
        <v>CAISSE EN L (34x39) NOIRE 30*30 PAS DE VITRE</v>
      </c>
      <c r="AA27" s="47" t="s">
        <v>47</v>
      </c>
      <c r="AB27" s="47" t="s">
        <v>48</v>
      </c>
      <c r="AC27" s="55" t="str">
        <f t="shared" si="8"/>
        <v>CAISSE EN L (34x39) NOIRE 30*30 PAS DE VITRE</v>
      </c>
      <c r="AD27" s="47" t="s">
        <v>49</v>
      </c>
      <c r="AE27" s="47" t="str">
        <f t="shared" si="9"/>
        <v>MARILYN  30*30 NOIR PAS DE VITRE PAS DE REHAUSSE - CAISSES AMERICAINES - Pas de passepartout - Dos classique sans chevalet (Largeur bord arrière 39mm Profondeur 35mm Largeur bord visible 10mm)</v>
      </c>
      <c r="AF27" s="47" t="str">
        <f t="shared" si="1"/>
        <v>MARILYN  30*30 NOIR PAS DE VITRE PAS DE REHAUSSE - CAISSES AMERICAINES - Pas de passepartout - Dos classique sans chevalet (Largeur bord arrière 39mm Profondeur 35mm Largeur bord visible 10mm)</v>
      </c>
      <c r="AG27" s="61">
        <f t="shared" si="10"/>
        <v>15.40618828</v>
      </c>
      <c r="AH27" s="62">
        <v>8.72</v>
      </c>
      <c r="AI27" s="47"/>
      <c r="AJ27" s="47"/>
      <c r="AK27" s="47"/>
      <c r="AL27" s="47"/>
      <c r="AM27" s="47"/>
      <c r="AN27" s="47"/>
      <c r="AO27" s="47"/>
    </row>
    <row r="28" ht="15.75" customHeight="1">
      <c r="A28" s="47">
        <v>1225.0</v>
      </c>
      <c r="B28" s="48" t="s">
        <v>83</v>
      </c>
      <c r="C28" s="49" t="s">
        <v>52</v>
      </c>
      <c r="D28" s="50" t="s">
        <v>87</v>
      </c>
      <c r="E28" s="51">
        <v>345707.0</v>
      </c>
      <c r="F28" s="52" t="s">
        <v>87</v>
      </c>
      <c r="G28" s="53">
        <v>4.0</v>
      </c>
      <c r="H28" s="63">
        <v>10.764757123896887</v>
      </c>
      <c r="I28" s="55" t="s">
        <v>41</v>
      </c>
      <c r="J28" s="47" t="str">
        <f t="shared" si="2"/>
        <v>060776 - CAISSE EN L</v>
      </c>
      <c r="K28" s="55">
        <f t="shared" si="3"/>
        <v>20.32055375</v>
      </c>
      <c r="L28" s="56">
        <v>11.134549999999999</v>
      </c>
      <c r="M28" s="57">
        <f t="shared" si="4"/>
        <v>20.32055375</v>
      </c>
      <c r="N28" s="47" t="s">
        <v>42</v>
      </c>
      <c r="O28" s="47" t="s">
        <v>43</v>
      </c>
      <c r="P28" s="47" t="s">
        <v>85</v>
      </c>
      <c r="Q28" s="55" t="str">
        <f t="shared" si="5"/>
        <v>40*40</v>
      </c>
      <c r="R28" s="58">
        <v>0.0</v>
      </c>
      <c r="S28" s="59">
        <v>0.0</v>
      </c>
      <c r="T28" s="59">
        <v>0.0</v>
      </c>
      <c r="U28" s="59">
        <v>0.0</v>
      </c>
      <c r="V28" s="47" t="s">
        <v>45</v>
      </c>
      <c r="W28" s="55" t="str">
        <f t="shared" si="6"/>
        <v>NOIR - 40*40 - PAS DE REHAUSSE - (Largeur bord arrière 39mm Profondeur 35mm Largeur bord visible 10mm)</v>
      </c>
      <c r="X28" s="58">
        <v>0.0</v>
      </c>
      <c r="Y28" s="60" t="s">
        <v>46</v>
      </c>
      <c r="Z28" s="55" t="str">
        <f t="shared" si="7"/>
        <v>CAISSE EN L (34x39) NOIRE 40*40 PAS DE VITRE</v>
      </c>
      <c r="AA28" s="47" t="s">
        <v>47</v>
      </c>
      <c r="AB28" s="47" t="s">
        <v>48</v>
      </c>
      <c r="AC28" s="55" t="str">
        <f t="shared" si="8"/>
        <v>CAISSE EN L (34x39) NOIRE 40*40 PAS DE VITRE</v>
      </c>
      <c r="AD28" s="47" t="s">
        <v>49</v>
      </c>
      <c r="AE28" s="47" t="str">
        <f t="shared" si="9"/>
        <v>MARILYN  40*40 NOIR PAS DE VITRE PAS DE REHAUSSE - CAISSES AMERICAINES - Pas de passepartout - Dos classique sans chevalet (Largeur bord arrière 39mm Profondeur 35mm Largeur bord visible 10mm)</v>
      </c>
      <c r="AF28" s="47" t="str">
        <f t="shared" si="1"/>
        <v>MARILYN  40*40 NOIR PAS DE VITRE PAS DE REHAUSSE - CAISSES AMERICAINES - Pas de passepartout - Dos classique sans chevalet (Largeur bord arrière 39mm Profondeur 35mm Largeur bord visible 10mm)</v>
      </c>
      <c r="AG28" s="61">
        <f t="shared" si="10"/>
        <v>19.37656282</v>
      </c>
      <c r="AH28" s="62">
        <v>10.97</v>
      </c>
      <c r="AI28" s="47"/>
      <c r="AJ28" s="47"/>
      <c r="AK28" s="47"/>
      <c r="AL28" s="47"/>
      <c r="AM28" s="47"/>
      <c r="AN28" s="47"/>
      <c r="AO28" s="47"/>
    </row>
    <row r="29" ht="15.75" customHeight="1">
      <c r="A29" s="47">
        <v>1226.0</v>
      </c>
      <c r="B29" s="48" t="s">
        <v>83</v>
      </c>
      <c r="C29" s="49" t="s">
        <v>54</v>
      </c>
      <c r="D29" s="50" t="s">
        <v>88</v>
      </c>
      <c r="E29" s="51">
        <v>345707.0</v>
      </c>
      <c r="F29" s="52" t="s">
        <v>88</v>
      </c>
      <c r="G29" s="53">
        <v>1.0</v>
      </c>
      <c r="H29" s="63">
        <v>13.008619116527576</v>
      </c>
      <c r="I29" s="55" t="s">
        <v>41</v>
      </c>
      <c r="J29" s="47" t="str">
        <f t="shared" si="2"/>
        <v>060777 - CAISSE EN L</v>
      </c>
      <c r="K29" s="55">
        <f t="shared" si="3"/>
        <v>24.5624925</v>
      </c>
      <c r="L29" s="56">
        <v>13.458899999999998</v>
      </c>
      <c r="M29" s="57">
        <f t="shared" si="4"/>
        <v>24.5624925</v>
      </c>
      <c r="N29" s="47" t="s">
        <v>42</v>
      </c>
      <c r="O29" s="47" t="s">
        <v>43</v>
      </c>
      <c r="P29" s="47" t="s">
        <v>85</v>
      </c>
      <c r="Q29" s="55" t="str">
        <f t="shared" si="5"/>
        <v>50*50</v>
      </c>
      <c r="R29" s="58">
        <v>0.0</v>
      </c>
      <c r="S29" s="59">
        <v>0.0</v>
      </c>
      <c r="T29" s="59">
        <v>0.0</v>
      </c>
      <c r="U29" s="59">
        <v>0.0</v>
      </c>
      <c r="V29" s="47" t="s">
        <v>45</v>
      </c>
      <c r="W29" s="55" t="str">
        <f t="shared" si="6"/>
        <v>NOIR - 50*50 - PAS DE REHAUSSE - (Largeur bord arrière 39mm Profondeur 35mm Largeur bord visible 10mm)</v>
      </c>
      <c r="X29" s="58">
        <v>0.0</v>
      </c>
      <c r="Y29" s="60" t="s">
        <v>46</v>
      </c>
      <c r="Z29" s="55" t="str">
        <f t="shared" si="7"/>
        <v>CAISSE EN L (34x39) NOIRE 50*50 PAS DE VITRE</v>
      </c>
      <c r="AA29" s="47" t="s">
        <v>47</v>
      </c>
      <c r="AB29" s="47" t="s">
        <v>48</v>
      </c>
      <c r="AC29" s="55" t="str">
        <f t="shared" si="8"/>
        <v>CAISSE EN L (34x39) NOIRE 50*50 PAS DE VITRE</v>
      </c>
      <c r="AD29" s="47" t="s">
        <v>49</v>
      </c>
      <c r="AE29" s="47" t="str">
        <f t="shared" si="9"/>
        <v>MARILYN  50*50 NOIR PAS DE VITRE PAS DE REHAUSSE - CAISSES AMERICAINES - Pas de passepartout - Dos classique sans chevalet (Largeur bord arrière 39mm Profondeur 35mm Largeur bord visible 10mm)</v>
      </c>
      <c r="AF29" s="47" t="str">
        <f t="shared" si="1"/>
        <v>MARILYN  50*50 NOIR PAS DE VITRE PAS DE REHAUSSE - CAISSES AMERICAINES - Pas de passepartout - Dos classique sans chevalet (Largeur bord arrière 39mm Profondeur 35mm Largeur bord visible 10mm)</v>
      </c>
      <c r="AG29" s="61">
        <f t="shared" si="10"/>
        <v>23.41551441</v>
      </c>
      <c r="AH29" s="62">
        <v>13.26</v>
      </c>
      <c r="AI29" s="47"/>
      <c r="AJ29" s="47"/>
      <c r="AK29" s="47"/>
      <c r="AL29" s="47"/>
      <c r="AM29" s="47"/>
      <c r="AN29" s="47"/>
      <c r="AO29" s="47"/>
    </row>
    <row r="30" ht="15.75" customHeight="1">
      <c r="A30" s="47">
        <v>1227.0</v>
      </c>
      <c r="B30" s="48" t="s">
        <v>83</v>
      </c>
      <c r="C30" s="49" t="s">
        <v>56</v>
      </c>
      <c r="D30" s="50" t="s">
        <v>89</v>
      </c>
      <c r="E30" s="51">
        <v>345707.0</v>
      </c>
      <c r="F30" s="52" t="s">
        <v>89</v>
      </c>
      <c r="G30" s="53">
        <v>8.0</v>
      </c>
      <c r="H30" s="63">
        <v>15.573032822391223</v>
      </c>
      <c r="I30" s="55" t="s">
        <v>41</v>
      </c>
      <c r="J30" s="47" t="str">
        <f t="shared" si="2"/>
        <v>060778 - CAISSE EN L</v>
      </c>
      <c r="K30" s="55">
        <f t="shared" si="3"/>
        <v>29.39719125</v>
      </c>
      <c r="L30" s="56">
        <v>16.10805</v>
      </c>
      <c r="M30" s="57">
        <f t="shared" si="4"/>
        <v>29.39719125</v>
      </c>
      <c r="N30" s="47" t="s">
        <v>42</v>
      </c>
      <c r="O30" s="47" t="s">
        <v>43</v>
      </c>
      <c r="P30" s="47" t="s">
        <v>85</v>
      </c>
      <c r="Q30" s="55" t="str">
        <f t="shared" si="5"/>
        <v>60*60</v>
      </c>
      <c r="R30" s="58">
        <v>0.0</v>
      </c>
      <c r="S30" s="59">
        <v>0.0</v>
      </c>
      <c r="T30" s="59">
        <v>0.0</v>
      </c>
      <c r="U30" s="59">
        <v>0.0</v>
      </c>
      <c r="V30" s="47" t="s">
        <v>45</v>
      </c>
      <c r="W30" s="55" t="str">
        <f t="shared" si="6"/>
        <v>NOIR - 60*60 - PAS DE REHAUSSE - (Largeur bord arrière 39mm Profondeur 35mm Largeur bord visible 10mm)</v>
      </c>
      <c r="X30" s="58">
        <v>0.0</v>
      </c>
      <c r="Y30" s="60" t="s">
        <v>46</v>
      </c>
      <c r="Z30" s="55" t="str">
        <f t="shared" si="7"/>
        <v>CAISSE EN L (34x39) NOIRE 60*60 PAS DE VITRE</v>
      </c>
      <c r="AA30" s="47" t="s">
        <v>47</v>
      </c>
      <c r="AB30" s="47" t="s">
        <v>48</v>
      </c>
      <c r="AC30" s="55" t="str">
        <f t="shared" si="8"/>
        <v>CAISSE EN L (34x39) NOIRE 60*60 PAS DE VITRE</v>
      </c>
      <c r="AD30" s="47" t="s">
        <v>49</v>
      </c>
      <c r="AE30" s="47" t="str">
        <f t="shared" si="9"/>
        <v>MARILYN  60*60 NOIR PAS DE VITRE PAS DE REHAUSSE - CAISSES AMERICAINES - Pas de passepartout - Dos classique sans chevalet (Largeur bord arrière 39mm Profondeur 35mm Largeur bord visible 10mm)</v>
      </c>
      <c r="AF30" s="47" t="str">
        <f t="shared" si="1"/>
        <v>MARILYN  60*60 NOIR PAS DE VITRE PAS DE REHAUSSE - CAISSES AMERICAINES - Pas de passepartout - Dos classique sans chevalet (Largeur bord arrière 39mm Profondeur 35mm Largeur bord visible 10mm)</v>
      </c>
      <c r="AG30" s="61">
        <f t="shared" si="10"/>
        <v>28.03145908</v>
      </c>
      <c r="AH30" s="62">
        <v>15.87</v>
      </c>
      <c r="AI30" s="47"/>
      <c r="AJ30" s="47"/>
      <c r="AK30" s="47"/>
      <c r="AL30" s="47"/>
      <c r="AM30" s="47"/>
      <c r="AN30" s="47"/>
      <c r="AO30" s="47"/>
    </row>
    <row r="31" ht="15.75" customHeight="1">
      <c r="A31" s="47">
        <v>1228.0</v>
      </c>
      <c r="B31" s="48" t="s">
        <v>83</v>
      </c>
      <c r="C31" s="49" t="s">
        <v>58</v>
      </c>
      <c r="D31" s="50" t="s">
        <v>90</v>
      </c>
      <c r="E31" s="51">
        <v>345707.0</v>
      </c>
      <c r="F31" s="52" t="s">
        <v>90</v>
      </c>
      <c r="G31" s="53">
        <v>5.0</v>
      </c>
      <c r="H31" s="63">
        <v>18.0533673903577</v>
      </c>
      <c r="I31" s="55" t="s">
        <v>41</v>
      </c>
      <c r="J31" s="47" t="str">
        <f t="shared" si="2"/>
        <v>060779 - CAISSE EN L</v>
      </c>
      <c r="K31" s="55">
        <f t="shared" si="3"/>
        <v>34.0837</v>
      </c>
      <c r="L31" s="56">
        <v>18.676</v>
      </c>
      <c r="M31" s="57">
        <f t="shared" si="4"/>
        <v>34.0837</v>
      </c>
      <c r="N31" s="47" t="s">
        <v>42</v>
      </c>
      <c r="O31" s="47" t="s">
        <v>43</v>
      </c>
      <c r="P31" s="47" t="s">
        <v>85</v>
      </c>
      <c r="Q31" s="55" t="str">
        <f t="shared" si="5"/>
        <v>70*70</v>
      </c>
      <c r="R31" s="58">
        <v>0.0</v>
      </c>
      <c r="S31" s="59">
        <v>0.0</v>
      </c>
      <c r="T31" s="59">
        <v>0.0</v>
      </c>
      <c r="U31" s="59">
        <v>0.0</v>
      </c>
      <c r="V31" s="47" t="s">
        <v>45</v>
      </c>
      <c r="W31" s="55" t="str">
        <f t="shared" si="6"/>
        <v>NOIR - 70*70 - PAS DE REHAUSSE - (Largeur bord arrière 39mm Profondeur 35mm Largeur bord visible 10mm)</v>
      </c>
      <c r="X31" s="58">
        <v>0.0</v>
      </c>
      <c r="Y31" s="60" t="s">
        <v>46</v>
      </c>
      <c r="Z31" s="55" t="str">
        <f t="shared" si="7"/>
        <v>CAISSE EN L (34x39) NOIRE 70*70 PAS DE VITRE</v>
      </c>
      <c r="AA31" s="47" t="s">
        <v>47</v>
      </c>
      <c r="AB31" s="47" t="s">
        <v>48</v>
      </c>
      <c r="AC31" s="55" t="str">
        <f t="shared" si="8"/>
        <v>CAISSE EN L (34x39) NOIRE 70*70 PAS DE VITRE</v>
      </c>
      <c r="AD31" s="47" t="s">
        <v>49</v>
      </c>
      <c r="AE31" s="47" t="str">
        <f t="shared" si="9"/>
        <v>MARILYN  70*70 NOIR PAS DE VITRE PAS DE REHAUSSE - CAISSES AMERICAINES - Pas de passepartout - Dos classique sans chevalet (Largeur bord arrière 39mm Profondeur 35mm Largeur bord visible 10mm)</v>
      </c>
      <c r="AF31" s="47" t="str">
        <f t="shared" si="1"/>
        <v>MARILYN  70*70 NOIR PAS DE VITRE PAS DE REHAUSSE - CAISSES AMERICAINES - Pas de passepartout - Dos classique sans chevalet (Largeur bord arrière 39mm Profondeur 35mm Largeur bord visible 10mm)</v>
      </c>
      <c r="AG31" s="61">
        <f t="shared" si="10"/>
        <v>32.4960613</v>
      </c>
      <c r="AH31" s="62">
        <v>18.4</v>
      </c>
      <c r="AI31" s="47"/>
      <c r="AJ31" s="47"/>
      <c r="AK31" s="47"/>
      <c r="AL31" s="47"/>
      <c r="AM31" s="47"/>
      <c r="AN31" s="47"/>
      <c r="AO31" s="47"/>
    </row>
    <row r="32" ht="15.75" customHeight="1">
      <c r="A32" s="47">
        <v>1229.0</v>
      </c>
      <c r="B32" s="48" t="s">
        <v>83</v>
      </c>
      <c r="C32" s="49" t="s">
        <v>60</v>
      </c>
      <c r="D32" s="50" t="s">
        <v>91</v>
      </c>
      <c r="E32" s="51">
        <v>345707.0</v>
      </c>
      <c r="F32" s="52" t="s">
        <v>91</v>
      </c>
      <c r="G32" s="53">
        <v>1.0</v>
      </c>
      <c r="H32" s="63">
        <v>20.866077300323926</v>
      </c>
      <c r="I32" s="55" t="s">
        <v>41</v>
      </c>
      <c r="J32" s="47" t="str">
        <f t="shared" si="2"/>
        <v>060780 - CAISSE EN L</v>
      </c>
      <c r="K32" s="55">
        <f t="shared" si="3"/>
        <v>39.3814925</v>
      </c>
      <c r="L32" s="56">
        <v>21.5789</v>
      </c>
      <c r="M32" s="57">
        <f t="shared" si="4"/>
        <v>39.3814925</v>
      </c>
      <c r="N32" s="47" t="s">
        <v>42</v>
      </c>
      <c r="O32" s="47" t="s">
        <v>43</v>
      </c>
      <c r="P32" s="47" t="s">
        <v>85</v>
      </c>
      <c r="Q32" s="55" t="str">
        <f t="shared" si="5"/>
        <v>80*80</v>
      </c>
      <c r="R32" s="58">
        <v>0.0</v>
      </c>
      <c r="S32" s="59">
        <v>0.0</v>
      </c>
      <c r="T32" s="59">
        <v>0.0</v>
      </c>
      <c r="U32" s="59">
        <v>0.0</v>
      </c>
      <c r="V32" s="47" t="s">
        <v>45</v>
      </c>
      <c r="W32" s="55" t="str">
        <f t="shared" si="6"/>
        <v>NOIR - 80*80 - PAS DE REHAUSSE - (Largeur bord arrière 39mm Profondeur 35mm Largeur bord visible 10mm)</v>
      </c>
      <c r="X32" s="58">
        <v>0.0</v>
      </c>
      <c r="Y32" s="60" t="s">
        <v>46</v>
      </c>
      <c r="Z32" s="55" t="str">
        <f t="shared" si="7"/>
        <v>CAISSE EN L (34x39) NOIRE 80*80 PAS DE VITRE</v>
      </c>
      <c r="AA32" s="47" t="s">
        <v>47</v>
      </c>
      <c r="AB32" s="47" t="s">
        <v>48</v>
      </c>
      <c r="AC32" s="55" t="str">
        <f t="shared" si="8"/>
        <v>CAISSE EN L (34x39) NOIRE 80*80 PAS DE VITRE</v>
      </c>
      <c r="AD32" s="47" t="s">
        <v>49</v>
      </c>
      <c r="AE32" s="47" t="str">
        <f t="shared" si="9"/>
        <v>MARILYN  80*80 NOIR PAS DE VITRE PAS DE REHAUSSE - CAISSES AMERICAINES - Pas de passepartout - Dos classique sans chevalet (Largeur bord arrière 39mm Profondeur 35mm Largeur bord visible 10mm)</v>
      </c>
      <c r="AF32" s="47" t="str">
        <f t="shared" si="1"/>
        <v>MARILYN  80*80 NOIR PAS DE VITRE PAS DE REHAUSSE - CAISSES AMERICAINES - Pas de passepartout - Dos classique sans chevalet (Largeur bord arrière 39mm Profondeur 35mm Largeur bord visible 10mm)</v>
      </c>
      <c r="AG32" s="61">
        <f t="shared" si="10"/>
        <v>37.55893914</v>
      </c>
      <c r="AH32" s="62">
        <v>21.26</v>
      </c>
      <c r="AI32" s="47"/>
      <c r="AJ32" s="47"/>
      <c r="AK32" s="47"/>
      <c r="AL32" s="47"/>
      <c r="AM32" s="47"/>
      <c r="AN32" s="47"/>
      <c r="AO32" s="47"/>
    </row>
    <row r="33" ht="15.75" customHeight="1">
      <c r="A33" s="47">
        <v>1230.0</v>
      </c>
      <c r="B33" s="48" t="s">
        <v>83</v>
      </c>
      <c r="C33" s="49" t="s">
        <v>62</v>
      </c>
      <c r="D33" s="50" t="s">
        <v>92</v>
      </c>
      <c r="E33" s="51">
        <v>345707.0</v>
      </c>
      <c r="F33" s="52" t="s">
        <v>92</v>
      </c>
      <c r="G33" s="53">
        <v>8.0</v>
      </c>
      <c r="H33" s="63">
        <v>8.55899349062585</v>
      </c>
      <c r="I33" s="55" t="s">
        <v>41</v>
      </c>
      <c r="J33" s="47" t="str">
        <f t="shared" si="2"/>
        <v>060781 - CAISSE EN L</v>
      </c>
      <c r="K33" s="55">
        <f t="shared" si="3"/>
        <v>16.15271</v>
      </c>
      <c r="L33" s="56">
        <v>8.8508</v>
      </c>
      <c r="M33" s="57">
        <f t="shared" si="4"/>
        <v>16.15271</v>
      </c>
      <c r="N33" s="47" t="s">
        <v>42</v>
      </c>
      <c r="O33" s="47" t="s">
        <v>43</v>
      </c>
      <c r="P33" s="47" t="s">
        <v>85</v>
      </c>
      <c r="Q33" s="55" t="str">
        <f t="shared" si="5"/>
        <v>20*40</v>
      </c>
      <c r="R33" s="58">
        <v>0.0</v>
      </c>
      <c r="S33" s="59">
        <v>0.0</v>
      </c>
      <c r="T33" s="59">
        <v>0.0</v>
      </c>
      <c r="U33" s="59">
        <v>0.0</v>
      </c>
      <c r="V33" s="47" t="s">
        <v>45</v>
      </c>
      <c r="W33" s="55" t="str">
        <f t="shared" si="6"/>
        <v>NOIR - 20*40 - PAS DE REHAUSSE - (Largeur bord arrière 39mm Profondeur 35mm Largeur bord visible 10mm)</v>
      </c>
      <c r="X33" s="58">
        <v>0.0</v>
      </c>
      <c r="Y33" s="60" t="s">
        <v>46</v>
      </c>
      <c r="Z33" s="55" t="str">
        <f t="shared" si="7"/>
        <v>CAISSE EN L (34x39) NOIRE 20*40 PAS DE VITRE</v>
      </c>
      <c r="AA33" s="47" t="s">
        <v>47</v>
      </c>
      <c r="AB33" s="47" t="s">
        <v>48</v>
      </c>
      <c r="AC33" s="55" t="str">
        <f t="shared" si="8"/>
        <v>CAISSE EN L (34x39) NOIRE 20*40 PAS DE VITRE</v>
      </c>
      <c r="AD33" s="47" t="s">
        <v>49</v>
      </c>
      <c r="AE33" s="47" t="str">
        <f t="shared" si="9"/>
        <v>MARILYN  20*40 NOIR PAS DE VITRE PAS DE REHAUSSE - CAISSES AMERICAINES - Pas de passepartout - Dos classique sans chevalet (Largeur bord arrière 39mm Profondeur 35mm Largeur bord visible 10mm)</v>
      </c>
      <c r="AF33" s="47" t="str">
        <f t="shared" si="1"/>
        <v>MARILYN  20*40 NOIR PAS DE VITRE PAS DE REHAUSSE - CAISSES AMERICAINES - Pas de passepartout - Dos classique sans chevalet (Largeur bord arrière 39mm Profondeur 35mm Largeur bord visible 10mm)</v>
      </c>
      <c r="AG33" s="61">
        <f t="shared" si="10"/>
        <v>15.40618828</v>
      </c>
      <c r="AH33" s="62">
        <v>8.72</v>
      </c>
      <c r="AI33" s="47"/>
      <c r="AJ33" s="47"/>
      <c r="AK33" s="47"/>
      <c r="AL33" s="47"/>
      <c r="AM33" s="47"/>
      <c r="AN33" s="47"/>
      <c r="AO33" s="47"/>
    </row>
    <row r="34" ht="15.75" customHeight="1">
      <c r="A34" s="47">
        <v>1231.0</v>
      </c>
      <c r="B34" s="48" t="s">
        <v>83</v>
      </c>
      <c r="C34" s="49" t="s">
        <v>64</v>
      </c>
      <c r="D34" s="50" t="s">
        <v>93</v>
      </c>
      <c r="E34" s="51">
        <v>345707.0</v>
      </c>
      <c r="F34" s="52" t="s">
        <v>93</v>
      </c>
      <c r="G34" s="53">
        <v>5.0</v>
      </c>
      <c r="H34" s="63">
        <v>12.043022767239778</v>
      </c>
      <c r="I34" s="55" t="s">
        <v>41</v>
      </c>
      <c r="J34" s="47" t="str">
        <f t="shared" si="2"/>
        <v>060782 - CAISSE EN L</v>
      </c>
      <c r="K34" s="55">
        <f t="shared" si="3"/>
        <v>22.72864125</v>
      </c>
      <c r="L34" s="56">
        <v>12.454049999999999</v>
      </c>
      <c r="M34" s="57">
        <f t="shared" si="4"/>
        <v>22.72864125</v>
      </c>
      <c r="N34" s="47" t="s">
        <v>42</v>
      </c>
      <c r="O34" s="47" t="s">
        <v>43</v>
      </c>
      <c r="P34" s="47" t="s">
        <v>85</v>
      </c>
      <c r="Q34" s="55" t="str">
        <f t="shared" si="5"/>
        <v>30*60</v>
      </c>
      <c r="R34" s="58">
        <v>0.0</v>
      </c>
      <c r="S34" s="59">
        <v>0.0</v>
      </c>
      <c r="T34" s="59">
        <v>0.0</v>
      </c>
      <c r="U34" s="59">
        <v>0.0</v>
      </c>
      <c r="V34" s="47" t="s">
        <v>45</v>
      </c>
      <c r="W34" s="55" t="str">
        <f t="shared" si="6"/>
        <v>NOIR - 30*60 - PAS DE REHAUSSE - (Largeur bord arrière 39mm Profondeur 35mm Largeur bord visible 10mm)</v>
      </c>
      <c r="X34" s="58">
        <v>0.0</v>
      </c>
      <c r="Y34" s="60" t="s">
        <v>46</v>
      </c>
      <c r="Z34" s="55" t="str">
        <f t="shared" si="7"/>
        <v>CAISSE EN L (34x39) NOIRE 30*60 PAS DE VITRE</v>
      </c>
      <c r="AA34" s="47" t="s">
        <v>47</v>
      </c>
      <c r="AB34" s="47" t="s">
        <v>48</v>
      </c>
      <c r="AC34" s="55" t="str">
        <f t="shared" si="8"/>
        <v>CAISSE EN L (34x39) NOIRE 30*60 PAS DE VITRE</v>
      </c>
      <c r="AD34" s="47" t="s">
        <v>49</v>
      </c>
      <c r="AE34" s="47" t="str">
        <f t="shared" si="9"/>
        <v>MARILYN  30*60 NOIR PAS DE VITRE PAS DE REHAUSSE - CAISSES AMERICAINES - Pas de passepartout - Dos classique sans chevalet (Largeur bord arrière 39mm Profondeur 35mm Largeur bord visible 10mm)</v>
      </c>
      <c r="AF34" s="47" t="str">
        <f t="shared" si="1"/>
        <v>MARILYN  30*60 NOIR PAS DE VITRE PAS DE REHAUSSE - CAISSES AMERICAINES - Pas de passepartout - Dos classique sans chevalet (Largeur bord arrière 39mm Profondeur 35mm Largeur bord visible 10mm)</v>
      </c>
      <c r="AG34" s="61">
        <f t="shared" si="10"/>
        <v>21.67744098</v>
      </c>
      <c r="AH34" s="62">
        <v>12.27</v>
      </c>
      <c r="AI34" s="47"/>
      <c r="AJ34" s="47"/>
      <c r="AK34" s="47"/>
      <c r="AL34" s="47"/>
      <c r="AM34" s="47"/>
      <c r="AN34" s="47"/>
      <c r="AO34" s="47"/>
    </row>
    <row r="35" ht="15.75" customHeight="1">
      <c r="A35" s="47">
        <v>1232.0</v>
      </c>
      <c r="B35" s="48" t="s">
        <v>83</v>
      </c>
      <c r="C35" s="49" t="s">
        <v>66</v>
      </c>
      <c r="D35" s="50" t="s">
        <v>94</v>
      </c>
      <c r="E35" s="51">
        <v>345707.0</v>
      </c>
      <c r="F35" s="52" t="s">
        <v>94</v>
      </c>
      <c r="G35" s="53">
        <v>0.0</v>
      </c>
      <c r="H35" s="63">
        <v>15.532306989972282</v>
      </c>
      <c r="I35" s="55" t="s">
        <v>41</v>
      </c>
      <c r="J35" s="47" t="str">
        <f t="shared" si="2"/>
        <v>060783 - CAISSE EN L</v>
      </c>
      <c r="K35" s="55">
        <f t="shared" si="3"/>
        <v>29.32309625</v>
      </c>
      <c r="L35" s="56">
        <v>16.067449999999997</v>
      </c>
      <c r="M35" s="57">
        <f t="shared" si="4"/>
        <v>29.32309625</v>
      </c>
      <c r="N35" s="47" t="s">
        <v>42</v>
      </c>
      <c r="O35" s="47" t="s">
        <v>43</v>
      </c>
      <c r="P35" s="47" t="s">
        <v>85</v>
      </c>
      <c r="Q35" s="55" t="str">
        <f t="shared" si="5"/>
        <v>40*80</v>
      </c>
      <c r="R35" s="58">
        <v>0.0</v>
      </c>
      <c r="S35" s="59">
        <v>0.0</v>
      </c>
      <c r="T35" s="59">
        <v>0.0</v>
      </c>
      <c r="U35" s="59">
        <v>0.0</v>
      </c>
      <c r="V35" s="47" t="s">
        <v>45</v>
      </c>
      <c r="W35" s="55" t="str">
        <f t="shared" si="6"/>
        <v>NOIR - 40*80 - PAS DE REHAUSSE - (Largeur bord arrière 39mm Profondeur 35mm Largeur bord visible 10mm)</v>
      </c>
      <c r="X35" s="58">
        <v>0.0</v>
      </c>
      <c r="Y35" s="60" t="s">
        <v>46</v>
      </c>
      <c r="Z35" s="55" t="str">
        <f t="shared" si="7"/>
        <v>CAISSE EN L (34x39) NOIRE 40*80 PAS DE VITRE</v>
      </c>
      <c r="AA35" s="47" t="s">
        <v>47</v>
      </c>
      <c r="AB35" s="47" t="s">
        <v>48</v>
      </c>
      <c r="AC35" s="55" t="str">
        <f t="shared" si="8"/>
        <v>CAISSE EN L (34x39) NOIRE 40*80 PAS DE VITRE</v>
      </c>
      <c r="AD35" s="47" t="s">
        <v>49</v>
      </c>
      <c r="AE35" s="47" t="str">
        <f t="shared" si="9"/>
        <v>MARILYN  40*80 NOIR PAS DE VITRE PAS DE REHAUSSE - CAISSES AMERICAINES - Pas de passepartout - Dos classique sans chevalet (Largeur bord arrière 39mm Profondeur 35mm Largeur bord visible 10mm)</v>
      </c>
      <c r="AF35" s="47" t="str">
        <f t="shared" si="1"/>
        <v>MARILYN  40*80 NOIR PAS DE VITRE PAS DE REHAUSSE - CAISSES AMERICAINES - Pas de passepartout - Dos classique sans chevalet (Largeur bord arrière 39mm Profondeur 35mm Largeur bord visible 10mm)</v>
      </c>
      <c r="AG35" s="61">
        <f t="shared" si="10"/>
        <v>27.95815258</v>
      </c>
      <c r="AH35" s="62">
        <v>15.83</v>
      </c>
      <c r="AI35" s="47"/>
      <c r="AJ35" s="47"/>
      <c r="AK35" s="47"/>
      <c r="AL35" s="47"/>
      <c r="AM35" s="47"/>
      <c r="AN35" s="47"/>
      <c r="AO35" s="47"/>
    </row>
    <row r="36" ht="15.75" customHeight="1">
      <c r="A36" s="47">
        <v>1233.0</v>
      </c>
      <c r="B36" s="48" t="s">
        <v>83</v>
      </c>
      <c r="C36" s="49" t="s">
        <v>68</v>
      </c>
      <c r="D36" s="50" t="s">
        <v>95</v>
      </c>
      <c r="E36" s="51">
        <v>345707.0</v>
      </c>
      <c r="F36" s="52" t="s">
        <v>95</v>
      </c>
      <c r="G36" s="53">
        <v>9.0</v>
      </c>
      <c r="H36" s="63">
        <v>19.124062662016964</v>
      </c>
      <c r="I36" s="55" t="s">
        <v>41</v>
      </c>
      <c r="J36" s="47" t="str">
        <f t="shared" si="2"/>
        <v>060784 - CAISSE EN L</v>
      </c>
      <c r="K36" s="55">
        <f t="shared" si="3"/>
        <v>36.10278875</v>
      </c>
      <c r="L36" s="56">
        <v>19.782349999999997</v>
      </c>
      <c r="M36" s="57">
        <f t="shared" si="4"/>
        <v>36.10278875</v>
      </c>
      <c r="N36" s="47" t="s">
        <v>42</v>
      </c>
      <c r="O36" s="47" t="s">
        <v>43</v>
      </c>
      <c r="P36" s="47" t="s">
        <v>85</v>
      </c>
      <c r="Q36" s="55" t="str">
        <f t="shared" si="5"/>
        <v>50*100</v>
      </c>
      <c r="R36" s="58">
        <v>0.0</v>
      </c>
      <c r="S36" s="59">
        <v>0.0</v>
      </c>
      <c r="T36" s="59">
        <v>0.0</v>
      </c>
      <c r="U36" s="59">
        <v>0.0</v>
      </c>
      <c r="V36" s="47" t="s">
        <v>45</v>
      </c>
      <c r="W36" s="55" t="str">
        <f t="shared" si="6"/>
        <v>NOIR - 50*100 - PAS DE REHAUSSE - (Largeur bord arrière 39mm Profondeur 35mm Largeur bord visible 10mm)</v>
      </c>
      <c r="X36" s="58">
        <v>0.0</v>
      </c>
      <c r="Y36" s="60" t="s">
        <v>46</v>
      </c>
      <c r="Z36" s="55" t="str">
        <f t="shared" si="7"/>
        <v>CAISSE EN L (34x39) NOIRE 50*100 PAS DE VITRE</v>
      </c>
      <c r="AA36" s="47" t="s">
        <v>47</v>
      </c>
      <c r="AB36" s="47" t="s">
        <v>48</v>
      </c>
      <c r="AC36" s="55" t="str">
        <f t="shared" si="8"/>
        <v>CAISSE EN L (34x39) NOIRE 50*100 PAS DE VITRE</v>
      </c>
      <c r="AD36" s="47" t="s">
        <v>49</v>
      </c>
      <c r="AE36" s="47" t="str">
        <f t="shared" si="9"/>
        <v>MARILYN  50*100 NOIR PAS DE VITRE PAS DE REHAUSSE - CAISSES AMERICAINES - Pas de passepartout - Dos classique sans chevalet (Largeur bord arrière 39mm Profondeur 35mm Largeur bord visible 10mm)</v>
      </c>
      <c r="AF36" s="47" t="str">
        <f t="shared" si="1"/>
        <v>MARILYN  50*100 NOIR PAS DE VITRE PAS DE REHAUSSE - CAISSES AMERICAINES - Pas de passepartout - Dos classique sans chevalet (Largeur bord arrière 39mm Profondeur 35mm Largeur bord visible 10mm)</v>
      </c>
      <c r="AG36" s="61">
        <f t="shared" si="10"/>
        <v>34.42331279</v>
      </c>
      <c r="AH36" s="62">
        <v>19.49</v>
      </c>
      <c r="AI36" s="47"/>
      <c r="AJ36" s="47"/>
      <c r="AK36" s="47"/>
      <c r="AL36" s="47"/>
      <c r="AM36" s="47"/>
      <c r="AN36" s="47"/>
      <c r="AO36" s="47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64"/>
    </row>
    <row r="2">
      <c r="B2" s="65" t="s">
        <v>96</v>
      </c>
      <c r="C2" s="65" t="s">
        <v>97</v>
      </c>
      <c r="D2" s="66" t="s">
        <v>98</v>
      </c>
      <c r="E2" s="67" t="s">
        <v>99</v>
      </c>
      <c r="F2" s="67" t="s">
        <v>100</v>
      </c>
      <c r="G2" s="67" t="s">
        <v>101</v>
      </c>
    </row>
    <row r="3">
      <c r="B3" s="68" t="s">
        <v>102</v>
      </c>
      <c r="C3" s="68" t="s">
        <v>103</v>
      </c>
      <c r="D3" s="68" t="s">
        <v>104</v>
      </c>
      <c r="E3" s="68" t="s">
        <v>105</v>
      </c>
      <c r="F3" s="68" t="s">
        <v>106</v>
      </c>
    </row>
    <row r="4">
      <c r="A4" s="69"/>
      <c r="B4" s="70"/>
    </row>
    <row r="5">
      <c r="A5" s="64"/>
    </row>
    <row r="6">
      <c r="A6" s="64"/>
    </row>
    <row r="7">
      <c r="A7" s="64"/>
    </row>
    <row r="8">
      <c r="A8" s="64"/>
    </row>
    <row r="9">
      <c r="A9" s="64"/>
    </row>
    <row r="10">
      <c r="A10" s="64"/>
    </row>
    <row r="11">
      <c r="A11" s="64"/>
    </row>
    <row r="12">
      <c r="A12" s="64"/>
    </row>
    <row r="13">
      <c r="A13" s="64"/>
    </row>
    <row r="14">
      <c r="A14" s="64"/>
    </row>
    <row r="15">
      <c r="A15" s="64"/>
    </row>
    <row r="16">
      <c r="A16" s="64"/>
    </row>
    <row r="17">
      <c r="A17" s="64"/>
    </row>
    <row r="18">
      <c r="A18" s="64"/>
    </row>
    <row r="19">
      <c r="A19" s="64"/>
    </row>
    <row r="20">
      <c r="A20" s="64"/>
    </row>
    <row r="21">
      <c r="A21" s="64"/>
    </row>
    <row r="22">
      <c r="A22" s="64"/>
    </row>
    <row r="23">
      <c r="A23" s="64"/>
    </row>
    <row r="24">
      <c r="A24" s="64"/>
    </row>
    <row r="25">
      <c r="A25" s="64"/>
    </row>
    <row r="26">
      <c r="A26" s="64"/>
    </row>
    <row r="27">
      <c r="A27" s="64"/>
    </row>
    <row r="28">
      <c r="A28" s="64"/>
    </row>
    <row r="29">
      <c r="A29" s="64"/>
    </row>
    <row r="30">
      <c r="A30" s="64"/>
    </row>
    <row r="31">
      <c r="A31" s="64"/>
    </row>
    <row r="32">
      <c r="A32" s="64"/>
    </row>
    <row r="33">
      <c r="A33" s="64"/>
    </row>
    <row r="34">
      <c r="A34" s="64"/>
    </row>
    <row r="35">
      <c r="A35" s="64"/>
    </row>
    <row r="36">
      <c r="A36" s="64"/>
    </row>
    <row r="37">
      <c r="A37" s="64"/>
    </row>
    <row r="38">
      <c r="A38" s="64"/>
    </row>
    <row r="39">
      <c r="A39" s="64"/>
    </row>
    <row r="40">
      <c r="A40" s="64"/>
    </row>
    <row r="41">
      <c r="A41" s="64"/>
    </row>
    <row r="42">
      <c r="A42" s="64"/>
    </row>
    <row r="43">
      <c r="A43" s="64"/>
    </row>
    <row r="44">
      <c r="A44" s="64"/>
    </row>
    <row r="45">
      <c r="A45" s="64"/>
    </row>
    <row r="46">
      <c r="A46" s="64"/>
    </row>
    <row r="47">
      <c r="A47" s="64"/>
    </row>
    <row r="48">
      <c r="A48" s="64"/>
    </row>
    <row r="49">
      <c r="A49" s="64"/>
    </row>
    <row r="50">
      <c r="A50" s="64"/>
    </row>
    <row r="51">
      <c r="A51" s="64"/>
    </row>
    <row r="52">
      <c r="A52" s="64"/>
    </row>
    <row r="53">
      <c r="A53" s="64"/>
    </row>
    <row r="54">
      <c r="A54" s="64"/>
    </row>
    <row r="55">
      <c r="A55" s="64"/>
    </row>
    <row r="56">
      <c r="A56" s="64"/>
    </row>
    <row r="57">
      <c r="A57" s="64"/>
    </row>
    <row r="58">
      <c r="A58" s="64"/>
    </row>
    <row r="59">
      <c r="A59" s="64"/>
    </row>
    <row r="60">
      <c r="A60" s="64"/>
    </row>
    <row r="61">
      <c r="A61" s="64"/>
    </row>
    <row r="62">
      <c r="A62" s="64"/>
    </row>
    <row r="63">
      <c r="A63" s="64"/>
    </row>
    <row r="64">
      <c r="A64" s="64"/>
    </row>
    <row r="65">
      <c r="A65" s="64"/>
    </row>
    <row r="66">
      <c r="A66" s="64"/>
    </row>
    <row r="67">
      <c r="A67" s="64"/>
    </row>
    <row r="68">
      <c r="A68" s="64"/>
    </row>
    <row r="69">
      <c r="A69" s="64"/>
    </row>
    <row r="70">
      <c r="A70" s="64"/>
    </row>
    <row r="71">
      <c r="A71" s="64"/>
    </row>
    <row r="72">
      <c r="A72" s="64"/>
    </row>
    <row r="73">
      <c r="A73" s="64"/>
    </row>
    <row r="74">
      <c r="A74" s="64"/>
    </row>
    <row r="75">
      <c r="A75" s="64"/>
    </row>
    <row r="76">
      <c r="A76" s="64"/>
    </row>
    <row r="77">
      <c r="A77" s="64"/>
    </row>
    <row r="78">
      <c r="A78" s="64"/>
    </row>
    <row r="79">
      <c r="A79" s="64"/>
    </row>
    <row r="80">
      <c r="A80" s="64"/>
    </row>
    <row r="81">
      <c r="A81" s="64"/>
    </row>
    <row r="82">
      <c r="A82" s="64"/>
    </row>
    <row r="83">
      <c r="A83" s="64"/>
    </row>
    <row r="84">
      <c r="A84" s="64"/>
    </row>
    <row r="85">
      <c r="A85" s="64"/>
    </row>
    <row r="86">
      <c r="A86" s="64"/>
    </row>
    <row r="87">
      <c r="A87" s="64"/>
    </row>
    <row r="88">
      <c r="A88" s="64"/>
    </row>
    <row r="89">
      <c r="A89" s="64"/>
    </row>
    <row r="90">
      <c r="A90" s="64"/>
    </row>
    <row r="91">
      <c r="A91" s="64"/>
    </row>
    <row r="92">
      <c r="A92" s="64"/>
    </row>
    <row r="93">
      <c r="A93" s="64"/>
    </row>
    <row r="94">
      <c r="A94" s="64"/>
    </row>
    <row r="95">
      <c r="A95" s="64"/>
    </row>
    <row r="96">
      <c r="A96" s="64"/>
    </row>
    <row r="97">
      <c r="A97" s="64"/>
    </row>
    <row r="98">
      <c r="A98" s="64"/>
    </row>
    <row r="99">
      <c r="A99" s="64"/>
    </row>
    <row r="100">
      <c r="A100" s="64"/>
    </row>
    <row r="101">
      <c r="A101" s="64"/>
    </row>
    <row r="102">
      <c r="A102" s="64"/>
    </row>
    <row r="103">
      <c r="A103" s="64"/>
    </row>
    <row r="104">
      <c r="A104" s="64"/>
    </row>
    <row r="105">
      <c r="A105" s="64"/>
    </row>
    <row r="106">
      <c r="A106" s="64"/>
    </row>
    <row r="107">
      <c r="A107" s="64"/>
    </row>
    <row r="108">
      <c r="A108" s="64"/>
    </row>
    <row r="109">
      <c r="A109" s="64"/>
    </row>
    <row r="110">
      <c r="A110" s="64"/>
    </row>
    <row r="111">
      <c r="A111" s="64"/>
    </row>
    <row r="112">
      <c r="A112" s="64"/>
    </row>
    <row r="113">
      <c r="A113" s="64"/>
    </row>
    <row r="114">
      <c r="A114" s="64"/>
    </row>
    <row r="115">
      <c r="A115" s="64"/>
    </row>
    <row r="116">
      <c r="A116" s="64"/>
    </row>
    <row r="117">
      <c r="A117" s="64"/>
    </row>
    <row r="118">
      <c r="A118" s="64"/>
    </row>
    <row r="119">
      <c r="A119" s="64"/>
    </row>
    <row r="120">
      <c r="A120" s="64"/>
    </row>
    <row r="121">
      <c r="A121" s="64"/>
    </row>
    <row r="122">
      <c r="A122" s="64"/>
    </row>
    <row r="123">
      <c r="A123" s="64"/>
    </row>
    <row r="124">
      <c r="A124" s="64"/>
    </row>
    <row r="125">
      <c r="A125" s="64"/>
    </row>
    <row r="126">
      <c r="A126" s="64"/>
    </row>
    <row r="127">
      <c r="A127" s="64"/>
    </row>
    <row r="128">
      <c r="A128" s="64"/>
    </row>
    <row r="129">
      <c r="A129" s="64"/>
    </row>
    <row r="130">
      <c r="A130" s="64"/>
    </row>
    <row r="131">
      <c r="A131" s="64"/>
    </row>
    <row r="132">
      <c r="A132" s="64"/>
    </row>
    <row r="133">
      <c r="A133" s="64"/>
    </row>
    <row r="134">
      <c r="A134" s="64"/>
    </row>
    <row r="135">
      <c r="A135" s="64"/>
    </row>
    <row r="136">
      <c r="A136" s="64"/>
    </row>
    <row r="137">
      <c r="A137" s="64"/>
    </row>
    <row r="138">
      <c r="A138" s="64"/>
    </row>
    <row r="139">
      <c r="A139" s="64"/>
    </row>
    <row r="140">
      <c r="A140" s="64"/>
    </row>
    <row r="141">
      <c r="A141" s="64"/>
    </row>
    <row r="142">
      <c r="A142" s="64"/>
    </row>
    <row r="143">
      <c r="A143" s="64"/>
    </row>
    <row r="144">
      <c r="A144" s="64"/>
    </row>
    <row r="145">
      <c r="A145" s="64"/>
    </row>
    <row r="146">
      <c r="A146" s="64"/>
    </row>
    <row r="147">
      <c r="A147" s="64"/>
    </row>
    <row r="148">
      <c r="A148" s="64"/>
    </row>
    <row r="149">
      <c r="A149" s="64"/>
    </row>
    <row r="150">
      <c r="A150" s="64"/>
    </row>
    <row r="151">
      <c r="A151" s="64"/>
    </row>
    <row r="152">
      <c r="A152" s="64"/>
    </row>
    <row r="153">
      <c r="A153" s="64"/>
    </row>
    <row r="154">
      <c r="A154" s="64"/>
    </row>
    <row r="155">
      <c r="A155" s="64"/>
    </row>
    <row r="156">
      <c r="A156" s="64"/>
    </row>
    <row r="157">
      <c r="A157" s="64"/>
    </row>
    <row r="158">
      <c r="A158" s="64"/>
    </row>
    <row r="159">
      <c r="A159" s="64"/>
    </row>
    <row r="160">
      <c r="A160" s="64"/>
    </row>
    <row r="161">
      <c r="A161" s="64"/>
    </row>
    <row r="162">
      <c r="A162" s="64"/>
    </row>
    <row r="163">
      <c r="A163" s="64"/>
    </row>
    <row r="164">
      <c r="A164" s="64"/>
    </row>
    <row r="165">
      <c r="A165" s="64"/>
    </row>
    <row r="166">
      <c r="A166" s="64"/>
    </row>
    <row r="167">
      <c r="A167" s="64"/>
    </row>
    <row r="168">
      <c r="A168" s="64"/>
    </row>
    <row r="169">
      <c r="A169" s="64"/>
    </row>
    <row r="170">
      <c r="A170" s="64"/>
    </row>
    <row r="171">
      <c r="A171" s="64"/>
    </row>
    <row r="172">
      <c r="A172" s="64"/>
    </row>
    <row r="173">
      <c r="A173" s="64"/>
    </row>
    <row r="174">
      <c r="A174" s="64"/>
    </row>
    <row r="175">
      <c r="A175" s="64"/>
    </row>
    <row r="176">
      <c r="A176" s="64"/>
    </row>
    <row r="177">
      <c r="A177" s="64"/>
    </row>
    <row r="178">
      <c r="A178" s="64"/>
    </row>
    <row r="179">
      <c r="A179" s="64"/>
    </row>
    <row r="180">
      <c r="A180" s="64"/>
    </row>
    <row r="181">
      <c r="A181" s="64"/>
    </row>
    <row r="182">
      <c r="A182" s="64"/>
    </row>
    <row r="183">
      <c r="A183" s="64"/>
    </row>
    <row r="184">
      <c r="A184" s="64"/>
    </row>
    <row r="185">
      <c r="A185" s="64"/>
    </row>
    <row r="186">
      <c r="A186" s="64"/>
    </row>
    <row r="187">
      <c r="A187" s="64"/>
    </row>
    <row r="188">
      <c r="A188" s="64"/>
    </row>
    <row r="189">
      <c r="A189" s="64"/>
    </row>
    <row r="190">
      <c r="A190" s="64"/>
    </row>
    <row r="191">
      <c r="A191" s="64"/>
    </row>
    <row r="192">
      <c r="A192" s="64"/>
    </row>
    <row r="193">
      <c r="A193" s="64"/>
    </row>
    <row r="194">
      <c r="A194" s="64"/>
    </row>
    <row r="195">
      <c r="A195" s="64"/>
    </row>
    <row r="196">
      <c r="A196" s="64"/>
    </row>
    <row r="197">
      <c r="A197" s="64"/>
    </row>
    <row r="198">
      <c r="A198" s="64"/>
    </row>
    <row r="199">
      <c r="A199" s="64"/>
    </row>
    <row r="200">
      <c r="A200" s="64"/>
    </row>
    <row r="201">
      <c r="A201" s="64"/>
    </row>
    <row r="202">
      <c r="A202" s="64"/>
    </row>
    <row r="203">
      <c r="A203" s="64"/>
    </row>
    <row r="204">
      <c r="A204" s="64"/>
    </row>
    <row r="205">
      <c r="A205" s="64"/>
    </row>
    <row r="206">
      <c r="A206" s="64"/>
    </row>
    <row r="207">
      <c r="A207" s="64"/>
    </row>
    <row r="208">
      <c r="A208" s="64"/>
    </row>
    <row r="209">
      <c r="A209" s="64"/>
    </row>
    <row r="210">
      <c r="A210" s="64"/>
    </row>
    <row r="211">
      <c r="A211" s="64"/>
    </row>
    <row r="212">
      <c r="A212" s="64"/>
    </row>
    <row r="213">
      <c r="A213" s="64"/>
    </row>
    <row r="214">
      <c r="A214" s="64"/>
    </row>
    <row r="215">
      <c r="A215" s="64"/>
    </row>
    <row r="216">
      <c r="A216" s="64"/>
    </row>
    <row r="217">
      <c r="A217" s="64"/>
    </row>
    <row r="218">
      <c r="A218" s="64"/>
    </row>
    <row r="219">
      <c r="A219" s="64"/>
    </row>
    <row r="220">
      <c r="A220" s="64"/>
    </row>
    <row r="221">
      <c r="A221" s="64"/>
    </row>
    <row r="222">
      <c r="A222" s="64"/>
    </row>
    <row r="223">
      <c r="A223" s="64"/>
    </row>
    <row r="224">
      <c r="A224" s="64"/>
    </row>
    <row r="225">
      <c r="A225" s="64"/>
    </row>
    <row r="226">
      <c r="A226" s="64"/>
    </row>
    <row r="227">
      <c r="A227" s="64"/>
    </row>
    <row r="228">
      <c r="A228" s="64"/>
    </row>
    <row r="229">
      <c r="A229" s="64"/>
    </row>
    <row r="230">
      <c r="A230" s="64"/>
    </row>
    <row r="231">
      <c r="A231" s="64"/>
    </row>
    <row r="232">
      <c r="A232" s="64"/>
    </row>
    <row r="233">
      <c r="A233" s="64"/>
    </row>
    <row r="234">
      <c r="A234" s="64"/>
    </row>
    <row r="235">
      <c r="A235" s="64"/>
    </row>
    <row r="236">
      <c r="A236" s="64"/>
    </row>
    <row r="237">
      <c r="A237" s="64"/>
    </row>
    <row r="238">
      <c r="A238" s="64"/>
    </row>
    <row r="239">
      <c r="A239" s="64"/>
    </row>
    <row r="240">
      <c r="A240" s="64"/>
    </row>
    <row r="241">
      <c r="A241" s="64"/>
    </row>
    <row r="242">
      <c r="A242" s="64"/>
    </row>
    <row r="243">
      <c r="A243" s="64"/>
    </row>
    <row r="244">
      <c r="A244" s="64"/>
    </row>
    <row r="245">
      <c r="A245" s="64"/>
    </row>
    <row r="246">
      <c r="A246" s="64"/>
    </row>
    <row r="247">
      <c r="A247" s="64"/>
    </row>
    <row r="248">
      <c r="A248" s="64"/>
    </row>
    <row r="249">
      <c r="A249" s="64"/>
    </row>
    <row r="250">
      <c r="A250" s="64"/>
    </row>
    <row r="251">
      <c r="A251" s="64"/>
    </row>
    <row r="252">
      <c r="A252" s="64"/>
    </row>
    <row r="253">
      <c r="A253" s="64"/>
    </row>
    <row r="254">
      <c r="A254" s="64"/>
    </row>
    <row r="255">
      <c r="A255" s="64"/>
    </row>
    <row r="256">
      <c r="A256" s="64"/>
    </row>
    <row r="257">
      <c r="A257" s="64"/>
    </row>
    <row r="258">
      <c r="A258" s="64"/>
    </row>
    <row r="259">
      <c r="A259" s="64"/>
    </row>
    <row r="260">
      <c r="A260" s="64"/>
    </row>
    <row r="261">
      <c r="A261" s="64"/>
    </row>
    <row r="262">
      <c r="A262" s="64"/>
    </row>
    <row r="263">
      <c r="A263" s="64"/>
    </row>
    <row r="264">
      <c r="A264" s="64"/>
    </row>
    <row r="265">
      <c r="A265" s="64"/>
    </row>
    <row r="266">
      <c r="A266" s="64"/>
    </row>
    <row r="267">
      <c r="A267" s="64"/>
    </row>
    <row r="268">
      <c r="A268" s="64"/>
    </row>
    <row r="269">
      <c r="A269" s="64"/>
    </row>
    <row r="270">
      <c r="A270" s="64"/>
    </row>
    <row r="271">
      <c r="A271" s="64"/>
    </row>
    <row r="272">
      <c r="A272" s="64"/>
    </row>
    <row r="273">
      <c r="A273" s="64"/>
    </row>
    <row r="274">
      <c r="A274" s="64"/>
    </row>
    <row r="275">
      <c r="A275" s="64"/>
    </row>
    <row r="276">
      <c r="A276" s="64"/>
    </row>
    <row r="277">
      <c r="A277" s="64"/>
    </row>
    <row r="278">
      <c r="A278" s="64"/>
    </row>
    <row r="279">
      <c r="A279" s="64"/>
    </row>
    <row r="280">
      <c r="A280" s="64"/>
    </row>
    <row r="281">
      <c r="A281" s="64"/>
    </row>
    <row r="282">
      <c r="A282" s="64"/>
    </row>
    <row r="283">
      <c r="A283" s="64"/>
    </row>
    <row r="284">
      <c r="A284" s="64"/>
    </row>
    <row r="285">
      <c r="A285" s="64"/>
    </row>
    <row r="286">
      <c r="A286" s="64"/>
    </row>
    <row r="287">
      <c r="A287" s="64"/>
    </row>
    <row r="288">
      <c r="A288" s="64"/>
    </row>
    <row r="289">
      <c r="A289" s="64"/>
    </row>
    <row r="290">
      <c r="A290" s="64"/>
    </row>
    <row r="291">
      <c r="A291" s="64"/>
    </row>
    <row r="292">
      <c r="A292" s="64"/>
    </row>
    <row r="293">
      <c r="A293" s="64"/>
    </row>
    <row r="294">
      <c r="A294" s="64"/>
    </row>
    <row r="295">
      <c r="A295" s="64"/>
    </row>
    <row r="296">
      <c r="A296" s="64"/>
    </row>
    <row r="297">
      <c r="A297" s="64"/>
    </row>
    <row r="298">
      <c r="A298" s="64"/>
    </row>
    <row r="299">
      <c r="A299" s="64"/>
    </row>
    <row r="300">
      <c r="A300" s="64"/>
    </row>
    <row r="301">
      <c r="A301" s="64"/>
    </row>
    <row r="302">
      <c r="A302" s="64"/>
    </row>
    <row r="303">
      <c r="A303" s="64"/>
    </row>
    <row r="304">
      <c r="A304" s="64"/>
    </row>
    <row r="305">
      <c r="A305" s="64"/>
    </row>
    <row r="306">
      <c r="A306" s="64"/>
    </row>
    <row r="307">
      <c r="A307" s="64"/>
    </row>
    <row r="308">
      <c r="A308" s="64"/>
    </row>
    <row r="309">
      <c r="A309" s="64"/>
    </row>
    <row r="310">
      <c r="A310" s="64"/>
    </row>
    <row r="311">
      <c r="A311" s="64"/>
    </row>
    <row r="312">
      <c r="A312" s="64"/>
    </row>
    <row r="313">
      <c r="A313" s="64"/>
    </row>
    <row r="314">
      <c r="A314" s="64"/>
    </row>
    <row r="315">
      <c r="A315" s="64"/>
    </row>
    <row r="316">
      <c r="A316" s="64"/>
    </row>
    <row r="317">
      <c r="A317" s="64"/>
    </row>
    <row r="318">
      <c r="A318" s="64"/>
    </row>
    <row r="319">
      <c r="A319" s="64"/>
    </row>
    <row r="320">
      <c r="A320" s="64"/>
    </row>
    <row r="321">
      <c r="A321" s="64"/>
    </row>
    <row r="322">
      <c r="A322" s="64"/>
    </row>
    <row r="323">
      <c r="A323" s="64"/>
    </row>
    <row r="324">
      <c r="A324" s="64"/>
    </row>
    <row r="325">
      <c r="A325" s="64"/>
    </row>
    <row r="326">
      <c r="A326" s="64"/>
    </row>
    <row r="327">
      <c r="A327" s="64"/>
    </row>
    <row r="328">
      <c r="A328" s="64"/>
    </row>
    <row r="329">
      <c r="A329" s="64"/>
    </row>
    <row r="330">
      <c r="A330" s="64"/>
    </row>
    <row r="331">
      <c r="A331" s="64"/>
    </row>
    <row r="332">
      <c r="A332" s="64"/>
    </row>
    <row r="333">
      <c r="A333" s="64"/>
    </row>
    <row r="334">
      <c r="A334" s="64"/>
    </row>
    <row r="335">
      <c r="A335" s="64"/>
    </row>
    <row r="336">
      <c r="A336" s="64"/>
    </row>
    <row r="337">
      <c r="A337" s="64"/>
    </row>
    <row r="338">
      <c r="A338" s="64"/>
    </row>
    <row r="339">
      <c r="A339" s="64"/>
    </row>
    <row r="340">
      <c r="A340" s="64"/>
    </row>
    <row r="341">
      <c r="A341" s="64"/>
    </row>
    <row r="342">
      <c r="A342" s="64"/>
    </row>
    <row r="343">
      <c r="A343" s="64"/>
    </row>
    <row r="344">
      <c r="A344" s="64"/>
    </row>
    <row r="345">
      <c r="A345" s="64"/>
    </row>
    <row r="346">
      <c r="A346" s="64"/>
    </row>
    <row r="347">
      <c r="A347" s="64"/>
    </row>
    <row r="348">
      <c r="A348" s="64"/>
    </row>
    <row r="349">
      <c r="A349" s="64"/>
    </row>
    <row r="350">
      <c r="A350" s="64"/>
    </row>
    <row r="351">
      <c r="A351" s="64"/>
    </row>
    <row r="352">
      <c r="A352" s="64"/>
    </row>
    <row r="353">
      <c r="A353" s="64"/>
    </row>
    <row r="354">
      <c r="A354" s="64"/>
    </row>
    <row r="355">
      <c r="A355" s="64"/>
    </row>
    <row r="356">
      <c r="A356" s="64"/>
    </row>
    <row r="357">
      <c r="A357" s="64"/>
    </row>
    <row r="358">
      <c r="A358" s="64"/>
    </row>
    <row r="359">
      <c r="A359" s="64"/>
    </row>
    <row r="360">
      <c r="A360" s="64"/>
    </row>
    <row r="361">
      <c r="A361" s="64"/>
    </row>
    <row r="362">
      <c r="A362" s="64"/>
    </row>
    <row r="363">
      <c r="A363" s="64"/>
    </row>
    <row r="364">
      <c r="A364" s="64"/>
    </row>
    <row r="365">
      <c r="A365" s="64"/>
    </row>
    <row r="366">
      <c r="A366" s="64"/>
    </row>
    <row r="367">
      <c r="A367" s="64"/>
    </row>
    <row r="368">
      <c r="A368" s="64"/>
    </row>
    <row r="369">
      <c r="A369" s="64"/>
    </row>
    <row r="370">
      <c r="A370" s="64"/>
    </row>
    <row r="371">
      <c r="A371" s="64"/>
    </row>
    <row r="372">
      <c r="A372" s="64"/>
    </row>
    <row r="373">
      <c r="A373" s="64"/>
    </row>
    <row r="374">
      <c r="A374" s="64"/>
    </row>
    <row r="375">
      <c r="A375" s="64"/>
    </row>
    <row r="376">
      <c r="A376" s="64"/>
    </row>
    <row r="377">
      <c r="A377" s="64"/>
    </row>
    <row r="378">
      <c r="A378" s="64"/>
    </row>
    <row r="379">
      <c r="A379" s="64"/>
    </row>
    <row r="380">
      <c r="A380" s="64"/>
    </row>
    <row r="381">
      <c r="A381" s="64"/>
    </row>
    <row r="382">
      <c r="A382" s="64"/>
    </row>
    <row r="383">
      <c r="A383" s="64"/>
    </row>
    <row r="384">
      <c r="A384" s="64"/>
    </row>
    <row r="385">
      <c r="A385" s="64"/>
    </row>
    <row r="386">
      <c r="A386" s="64"/>
    </row>
    <row r="387">
      <c r="A387" s="64"/>
    </row>
    <row r="388">
      <c r="A388" s="64"/>
    </row>
    <row r="389">
      <c r="A389" s="64"/>
    </row>
    <row r="390">
      <c r="A390" s="64"/>
    </row>
    <row r="391">
      <c r="A391" s="64"/>
    </row>
    <row r="392">
      <c r="A392" s="64"/>
    </row>
    <row r="393">
      <c r="A393" s="64"/>
    </row>
    <row r="394">
      <c r="A394" s="64"/>
    </row>
    <row r="395">
      <c r="A395" s="64"/>
    </row>
    <row r="396">
      <c r="A396" s="64"/>
    </row>
    <row r="397">
      <c r="A397" s="64"/>
    </row>
    <row r="398">
      <c r="A398" s="64"/>
    </row>
    <row r="399">
      <c r="A399" s="64"/>
    </row>
    <row r="400">
      <c r="A400" s="64"/>
    </row>
    <row r="401">
      <c r="A401" s="64"/>
    </row>
    <row r="402">
      <c r="A402" s="64"/>
    </row>
    <row r="403">
      <c r="A403" s="64"/>
    </row>
    <row r="404">
      <c r="A404" s="64"/>
    </row>
    <row r="405">
      <c r="A405" s="64"/>
    </row>
    <row r="406">
      <c r="A406" s="64"/>
    </row>
    <row r="407">
      <c r="A407" s="64"/>
    </row>
    <row r="408">
      <c r="A408" s="64"/>
    </row>
    <row r="409">
      <c r="A409" s="64"/>
    </row>
    <row r="410">
      <c r="A410" s="64"/>
    </row>
    <row r="411">
      <c r="A411" s="64"/>
    </row>
    <row r="412">
      <c r="A412" s="64"/>
    </row>
    <row r="413">
      <c r="A413" s="64"/>
    </row>
    <row r="414">
      <c r="A414" s="64"/>
    </row>
    <row r="415">
      <c r="A415" s="64"/>
    </row>
    <row r="416">
      <c r="A416" s="64"/>
    </row>
    <row r="417">
      <c r="A417" s="64"/>
    </row>
    <row r="418">
      <c r="A418" s="64"/>
    </row>
    <row r="419">
      <c r="A419" s="64"/>
    </row>
    <row r="420">
      <c r="A420" s="64"/>
    </row>
    <row r="421">
      <c r="A421" s="64"/>
    </row>
    <row r="422">
      <c r="A422" s="64"/>
    </row>
    <row r="423">
      <c r="A423" s="64"/>
    </row>
    <row r="424">
      <c r="A424" s="64"/>
    </row>
    <row r="425">
      <c r="A425" s="64"/>
    </row>
    <row r="426">
      <c r="A426" s="64"/>
    </row>
    <row r="427">
      <c r="A427" s="64"/>
    </row>
    <row r="428">
      <c r="A428" s="64"/>
    </row>
    <row r="429">
      <c r="A429" s="64"/>
    </row>
    <row r="430">
      <c r="A430" s="64"/>
    </row>
    <row r="431">
      <c r="A431" s="64"/>
    </row>
    <row r="432">
      <c r="A432" s="64"/>
    </row>
    <row r="433">
      <c r="A433" s="64"/>
    </row>
    <row r="434">
      <c r="A434" s="64"/>
    </row>
    <row r="435">
      <c r="A435" s="64"/>
    </row>
    <row r="436">
      <c r="A436" s="64"/>
    </row>
    <row r="437">
      <c r="A437" s="64"/>
    </row>
    <row r="438">
      <c r="A438" s="64"/>
    </row>
    <row r="439">
      <c r="A439" s="64"/>
    </row>
    <row r="440">
      <c r="A440" s="64"/>
    </row>
    <row r="441">
      <c r="A441" s="64"/>
    </row>
    <row r="442">
      <c r="A442" s="64"/>
    </row>
    <row r="443">
      <c r="A443" s="64"/>
    </row>
    <row r="444">
      <c r="A444" s="64"/>
    </row>
    <row r="445">
      <c r="A445" s="64"/>
    </row>
    <row r="446">
      <c r="A446" s="64"/>
    </row>
    <row r="447">
      <c r="A447" s="64"/>
    </row>
    <row r="448">
      <c r="A448" s="64"/>
    </row>
    <row r="449">
      <c r="A449" s="64"/>
    </row>
    <row r="450">
      <c r="A450" s="64"/>
    </row>
    <row r="451">
      <c r="A451" s="64"/>
    </row>
    <row r="452">
      <c r="A452" s="64"/>
    </row>
    <row r="453">
      <c r="A453" s="64"/>
    </row>
    <row r="454">
      <c r="A454" s="64"/>
    </row>
    <row r="455">
      <c r="A455" s="64"/>
    </row>
    <row r="456">
      <c r="A456" s="64"/>
    </row>
    <row r="457">
      <c r="A457" s="64"/>
    </row>
    <row r="458">
      <c r="A458" s="64"/>
    </row>
    <row r="459">
      <c r="A459" s="64"/>
    </row>
    <row r="460">
      <c r="A460" s="64"/>
    </row>
    <row r="461">
      <c r="A461" s="64"/>
    </row>
    <row r="462">
      <c r="A462" s="64"/>
    </row>
    <row r="463">
      <c r="A463" s="64"/>
    </row>
    <row r="464">
      <c r="A464" s="64"/>
    </row>
    <row r="465">
      <c r="A465" s="64"/>
    </row>
    <row r="466">
      <c r="A466" s="64"/>
    </row>
    <row r="467">
      <c r="A467" s="64"/>
    </row>
    <row r="468">
      <c r="A468" s="64"/>
    </row>
    <row r="469">
      <c r="A469" s="64"/>
    </row>
    <row r="470">
      <c r="A470" s="64"/>
    </row>
    <row r="471">
      <c r="A471" s="64"/>
    </row>
    <row r="472">
      <c r="A472" s="64"/>
    </row>
    <row r="473">
      <c r="A473" s="64"/>
    </row>
    <row r="474">
      <c r="A474" s="64"/>
    </row>
    <row r="475">
      <c r="A475" s="64"/>
    </row>
    <row r="476">
      <c r="A476" s="64"/>
    </row>
    <row r="477">
      <c r="A477" s="64"/>
    </row>
    <row r="478">
      <c r="A478" s="64"/>
    </row>
    <row r="479">
      <c r="A479" s="64"/>
    </row>
    <row r="480">
      <c r="A480" s="64"/>
    </row>
    <row r="481">
      <c r="A481" s="64"/>
    </row>
    <row r="482">
      <c r="A482" s="64"/>
    </row>
    <row r="483">
      <c r="A483" s="64"/>
    </row>
    <row r="484">
      <c r="A484" s="64"/>
    </row>
    <row r="485">
      <c r="A485" s="64"/>
    </row>
    <row r="486">
      <c r="A486" s="64"/>
    </row>
    <row r="487">
      <c r="A487" s="64"/>
    </row>
    <row r="488">
      <c r="A488" s="64"/>
    </row>
    <row r="489">
      <c r="A489" s="64"/>
    </row>
    <row r="490">
      <c r="A490" s="64"/>
    </row>
    <row r="491">
      <c r="A491" s="64"/>
    </row>
    <row r="492">
      <c r="A492" s="64"/>
    </row>
    <row r="493">
      <c r="A493" s="64"/>
    </row>
    <row r="494">
      <c r="A494" s="64"/>
    </row>
    <row r="495">
      <c r="A495" s="64"/>
    </row>
    <row r="496">
      <c r="A496" s="64"/>
    </row>
    <row r="497">
      <c r="A497" s="64"/>
    </row>
    <row r="498">
      <c r="A498" s="64"/>
    </row>
    <row r="499">
      <c r="A499" s="64"/>
    </row>
    <row r="500">
      <c r="A500" s="64"/>
    </row>
    <row r="501">
      <c r="A501" s="64"/>
    </row>
    <row r="502">
      <c r="A502" s="64"/>
    </row>
    <row r="503">
      <c r="A503" s="64"/>
    </row>
    <row r="504">
      <c r="A504" s="64"/>
    </row>
    <row r="505">
      <c r="A505" s="64"/>
    </row>
    <row r="506">
      <c r="A506" s="64"/>
    </row>
    <row r="507">
      <c r="A507" s="64"/>
    </row>
    <row r="508">
      <c r="A508" s="64"/>
    </row>
    <row r="509">
      <c r="A509" s="64"/>
    </row>
    <row r="510">
      <c r="A510" s="64"/>
    </row>
    <row r="511">
      <c r="A511" s="64"/>
    </row>
    <row r="512">
      <c r="A512" s="64"/>
    </row>
    <row r="513">
      <c r="A513" s="64"/>
    </row>
    <row r="514">
      <c r="A514" s="64"/>
    </row>
    <row r="515">
      <c r="A515" s="64"/>
    </row>
    <row r="516">
      <c r="A516" s="64"/>
    </row>
    <row r="517">
      <c r="A517" s="64"/>
    </row>
    <row r="518">
      <c r="A518" s="64"/>
    </row>
    <row r="519">
      <c r="A519" s="64"/>
    </row>
    <row r="520">
      <c r="A520" s="64"/>
    </row>
    <row r="521">
      <c r="A521" s="64"/>
    </row>
    <row r="522">
      <c r="A522" s="64"/>
    </row>
    <row r="523">
      <c r="A523" s="64"/>
    </row>
    <row r="524">
      <c r="A524" s="64"/>
    </row>
    <row r="525">
      <c r="A525" s="64"/>
    </row>
    <row r="526">
      <c r="A526" s="64"/>
    </row>
    <row r="527">
      <c r="A527" s="64"/>
    </row>
    <row r="528">
      <c r="A528" s="64"/>
    </row>
    <row r="529">
      <c r="A529" s="64"/>
    </row>
    <row r="530">
      <c r="A530" s="64"/>
    </row>
    <row r="531">
      <c r="A531" s="64"/>
    </row>
    <row r="532">
      <c r="A532" s="64"/>
    </row>
    <row r="533">
      <c r="A533" s="64"/>
    </row>
    <row r="534">
      <c r="A534" s="64"/>
    </row>
    <row r="535">
      <c r="A535" s="64"/>
    </row>
    <row r="536">
      <c r="A536" s="64"/>
    </row>
    <row r="537">
      <c r="A537" s="64"/>
    </row>
    <row r="538">
      <c r="A538" s="64"/>
    </row>
    <row r="539">
      <c r="A539" s="64"/>
    </row>
    <row r="540">
      <c r="A540" s="64"/>
    </row>
    <row r="541">
      <c r="A541" s="64"/>
    </row>
    <row r="542">
      <c r="A542" s="64"/>
    </row>
    <row r="543">
      <c r="A543" s="64"/>
    </row>
    <row r="544">
      <c r="A544" s="64"/>
    </row>
    <row r="545">
      <c r="A545" s="64"/>
    </row>
    <row r="546">
      <c r="A546" s="64"/>
    </row>
    <row r="547">
      <c r="A547" s="64"/>
    </row>
    <row r="548">
      <c r="A548" s="64"/>
    </row>
    <row r="549">
      <c r="A549" s="64"/>
    </row>
    <row r="550">
      <c r="A550" s="64"/>
    </row>
    <row r="551">
      <c r="A551" s="64"/>
    </row>
    <row r="552">
      <c r="A552" s="64"/>
    </row>
    <row r="553">
      <c r="A553" s="64"/>
    </row>
    <row r="554">
      <c r="A554" s="64"/>
    </row>
    <row r="555">
      <c r="A555" s="64"/>
    </row>
    <row r="556">
      <c r="A556" s="64"/>
    </row>
    <row r="557">
      <c r="A557" s="64"/>
    </row>
    <row r="558">
      <c r="A558" s="64"/>
    </row>
    <row r="559">
      <c r="A559" s="64"/>
    </row>
    <row r="560">
      <c r="A560" s="64"/>
    </row>
    <row r="561">
      <c r="A561" s="64"/>
    </row>
    <row r="562">
      <c r="A562" s="64"/>
    </row>
    <row r="563">
      <c r="A563" s="64"/>
    </row>
    <row r="564">
      <c r="A564" s="64"/>
    </row>
    <row r="565">
      <c r="A565" s="64"/>
    </row>
    <row r="566">
      <c r="A566" s="64"/>
    </row>
    <row r="567">
      <c r="A567" s="64"/>
    </row>
    <row r="568">
      <c r="A568" s="64"/>
    </row>
    <row r="569">
      <c r="A569" s="64"/>
    </row>
    <row r="570">
      <c r="A570" s="64"/>
    </row>
    <row r="571">
      <c r="A571" s="64"/>
    </row>
    <row r="572">
      <c r="A572" s="64"/>
    </row>
    <row r="573">
      <c r="A573" s="64"/>
    </row>
    <row r="574">
      <c r="A574" s="64"/>
    </row>
    <row r="575">
      <c r="A575" s="64"/>
    </row>
    <row r="576">
      <c r="A576" s="64"/>
    </row>
    <row r="577">
      <c r="A577" s="64"/>
    </row>
    <row r="578">
      <c r="A578" s="64"/>
    </row>
    <row r="579">
      <c r="A579" s="64"/>
    </row>
    <row r="580">
      <c r="A580" s="64"/>
    </row>
    <row r="581">
      <c r="A581" s="64"/>
    </row>
    <row r="582">
      <c r="A582" s="64"/>
    </row>
    <row r="583">
      <c r="A583" s="64"/>
    </row>
    <row r="584">
      <c r="A584" s="64"/>
    </row>
    <row r="585">
      <c r="A585" s="64"/>
    </row>
    <row r="586">
      <c r="A586" s="64"/>
    </row>
    <row r="587">
      <c r="A587" s="64"/>
    </row>
    <row r="588">
      <c r="A588" s="64"/>
    </row>
    <row r="589">
      <c r="A589" s="64"/>
    </row>
    <row r="590">
      <c r="A590" s="64"/>
    </row>
    <row r="591">
      <c r="A591" s="64"/>
    </row>
    <row r="592">
      <c r="A592" s="64"/>
    </row>
    <row r="593">
      <c r="A593" s="64"/>
    </row>
    <row r="594">
      <c r="A594" s="64"/>
    </row>
    <row r="595">
      <c r="A595" s="64"/>
    </row>
    <row r="596">
      <c r="A596" s="64"/>
    </row>
    <row r="597">
      <c r="A597" s="64"/>
    </row>
    <row r="598">
      <c r="A598" s="64"/>
    </row>
    <row r="599">
      <c r="A599" s="64"/>
    </row>
    <row r="600">
      <c r="A600" s="64"/>
    </row>
    <row r="601">
      <c r="A601" s="64"/>
    </row>
    <row r="602">
      <c r="A602" s="64"/>
    </row>
    <row r="603">
      <c r="A603" s="64"/>
    </row>
    <row r="604">
      <c r="A604" s="64"/>
    </row>
    <row r="605">
      <c r="A605" s="64"/>
    </row>
    <row r="606">
      <c r="A606" s="64"/>
    </row>
    <row r="607">
      <c r="A607" s="64"/>
    </row>
    <row r="608">
      <c r="A608" s="64"/>
    </row>
    <row r="609">
      <c r="A609" s="64"/>
    </row>
    <row r="610">
      <c r="A610" s="64"/>
    </row>
    <row r="611">
      <c r="A611" s="64"/>
    </row>
    <row r="612">
      <c r="A612" s="64"/>
    </row>
    <row r="613">
      <c r="A613" s="64"/>
    </row>
    <row r="614">
      <c r="A614" s="64"/>
    </row>
    <row r="615">
      <c r="A615" s="64"/>
    </row>
    <row r="616">
      <c r="A616" s="64"/>
    </row>
    <row r="617">
      <c r="A617" s="64"/>
    </row>
    <row r="618">
      <c r="A618" s="64"/>
    </row>
    <row r="619">
      <c r="A619" s="64"/>
    </row>
    <row r="620">
      <c r="A620" s="64"/>
    </row>
    <row r="621">
      <c r="A621" s="64"/>
    </row>
    <row r="622">
      <c r="A622" s="64"/>
    </row>
    <row r="623">
      <c r="A623" s="64"/>
    </row>
    <row r="624">
      <c r="A624" s="64"/>
    </row>
    <row r="625">
      <c r="A625" s="64"/>
    </row>
    <row r="626">
      <c r="A626" s="64"/>
    </row>
    <row r="627">
      <c r="A627" s="64"/>
    </row>
    <row r="628">
      <c r="A628" s="64"/>
    </row>
    <row r="629">
      <c r="A629" s="64"/>
    </row>
    <row r="630">
      <c r="A630" s="64"/>
    </row>
    <row r="631">
      <c r="A631" s="64"/>
    </row>
    <row r="632">
      <c r="A632" s="64"/>
    </row>
    <row r="633">
      <c r="A633" s="64"/>
    </row>
    <row r="634">
      <c r="A634" s="64"/>
    </row>
    <row r="635">
      <c r="A635" s="64"/>
    </row>
    <row r="636">
      <c r="A636" s="64"/>
    </row>
    <row r="637">
      <c r="A637" s="64"/>
    </row>
    <row r="638">
      <c r="A638" s="64"/>
    </row>
    <row r="639">
      <c r="A639" s="64"/>
    </row>
    <row r="640">
      <c r="A640" s="64"/>
    </row>
    <row r="641">
      <c r="A641" s="64"/>
    </row>
    <row r="642">
      <c r="A642" s="64"/>
    </row>
    <row r="643">
      <c r="A643" s="64"/>
    </row>
    <row r="644">
      <c r="A644" s="64"/>
    </row>
    <row r="645">
      <c r="A645" s="64"/>
    </row>
    <row r="646">
      <c r="A646" s="64"/>
    </row>
    <row r="647">
      <c r="A647" s="64"/>
    </row>
    <row r="648">
      <c r="A648" s="64"/>
    </row>
    <row r="649">
      <c r="A649" s="64"/>
    </row>
    <row r="650">
      <c r="A650" s="64"/>
    </row>
    <row r="651">
      <c r="A651" s="64"/>
    </row>
    <row r="652">
      <c r="A652" s="64"/>
    </row>
    <row r="653">
      <c r="A653" s="64"/>
    </row>
    <row r="654">
      <c r="A654" s="64"/>
    </row>
    <row r="655">
      <c r="A655" s="64"/>
    </row>
    <row r="656">
      <c r="A656" s="64"/>
    </row>
    <row r="657">
      <c r="A657" s="64"/>
    </row>
    <row r="658">
      <c r="A658" s="64"/>
    </row>
    <row r="659">
      <c r="A659" s="64"/>
    </row>
    <row r="660">
      <c r="A660" s="64"/>
    </row>
    <row r="661">
      <c r="A661" s="64"/>
    </row>
    <row r="662">
      <c r="A662" s="64"/>
    </row>
    <row r="663">
      <c r="A663" s="64"/>
    </row>
    <row r="664">
      <c r="A664" s="64"/>
    </row>
    <row r="665">
      <c r="A665" s="64"/>
    </row>
    <row r="666">
      <c r="A666" s="64"/>
    </row>
    <row r="667">
      <c r="A667" s="64"/>
    </row>
    <row r="668">
      <c r="A668" s="64"/>
    </row>
    <row r="669">
      <c r="A669" s="64"/>
    </row>
    <row r="670">
      <c r="A670" s="64"/>
    </row>
    <row r="671">
      <c r="A671" s="64"/>
    </row>
    <row r="672">
      <c r="A672" s="64"/>
    </row>
    <row r="673">
      <c r="A673" s="64"/>
    </row>
    <row r="674">
      <c r="A674" s="64"/>
    </row>
    <row r="675">
      <c r="A675" s="64"/>
    </row>
    <row r="676">
      <c r="A676" s="64"/>
    </row>
    <row r="677">
      <c r="A677" s="64"/>
    </row>
    <row r="678">
      <c r="A678" s="64"/>
    </row>
    <row r="679">
      <c r="A679" s="64"/>
    </row>
    <row r="680">
      <c r="A680" s="64"/>
    </row>
    <row r="681">
      <c r="A681" s="64"/>
    </row>
    <row r="682">
      <c r="A682" s="64"/>
    </row>
    <row r="683">
      <c r="A683" s="64"/>
    </row>
    <row r="684">
      <c r="A684" s="64"/>
    </row>
    <row r="685">
      <c r="A685" s="64"/>
    </row>
    <row r="686">
      <c r="A686" s="64"/>
    </row>
    <row r="687">
      <c r="A687" s="64"/>
    </row>
    <row r="688">
      <c r="A688" s="64"/>
    </row>
    <row r="689">
      <c r="A689" s="64"/>
    </row>
    <row r="690">
      <c r="A690" s="64"/>
    </row>
    <row r="691">
      <c r="A691" s="64"/>
    </row>
    <row r="692">
      <c r="A692" s="64"/>
    </row>
    <row r="693">
      <c r="A693" s="64"/>
    </row>
    <row r="694">
      <c r="A694" s="64"/>
    </row>
    <row r="695">
      <c r="A695" s="64"/>
    </row>
    <row r="696">
      <c r="A696" s="64"/>
    </row>
    <row r="697">
      <c r="A697" s="64"/>
    </row>
    <row r="698">
      <c r="A698" s="64"/>
    </row>
    <row r="699">
      <c r="A699" s="64"/>
    </row>
    <row r="700">
      <c r="A700" s="64"/>
    </row>
    <row r="701">
      <c r="A701" s="64"/>
    </row>
    <row r="702">
      <c r="A702" s="64"/>
    </row>
    <row r="703">
      <c r="A703" s="64"/>
    </row>
    <row r="704">
      <c r="A704" s="64"/>
    </row>
    <row r="705">
      <c r="A705" s="64"/>
    </row>
    <row r="706">
      <c r="A706" s="64"/>
    </row>
    <row r="707">
      <c r="A707" s="64"/>
    </row>
    <row r="708">
      <c r="A708" s="64"/>
    </row>
    <row r="709">
      <c r="A709" s="64"/>
    </row>
    <row r="710">
      <c r="A710" s="64"/>
    </row>
    <row r="711">
      <c r="A711" s="64"/>
    </row>
    <row r="712">
      <c r="A712" s="64"/>
    </row>
    <row r="713">
      <c r="A713" s="64"/>
    </row>
    <row r="714">
      <c r="A714" s="64"/>
    </row>
    <row r="715">
      <c r="A715" s="64"/>
    </row>
    <row r="716">
      <c r="A716" s="64"/>
    </row>
    <row r="717">
      <c r="A717" s="64"/>
    </row>
    <row r="718">
      <c r="A718" s="64"/>
    </row>
    <row r="719">
      <c r="A719" s="64"/>
    </row>
    <row r="720">
      <c r="A720" s="64"/>
    </row>
    <row r="721">
      <c r="A721" s="64"/>
    </row>
    <row r="722">
      <c r="A722" s="64"/>
    </row>
    <row r="723">
      <c r="A723" s="64"/>
    </row>
    <row r="724">
      <c r="A724" s="64"/>
    </row>
    <row r="725">
      <c r="A725" s="64"/>
    </row>
    <row r="726">
      <c r="A726" s="64"/>
    </row>
    <row r="727">
      <c r="A727" s="64"/>
    </row>
    <row r="728">
      <c r="A728" s="64"/>
    </row>
    <row r="729">
      <c r="A729" s="64"/>
    </row>
    <row r="730">
      <c r="A730" s="64"/>
    </row>
    <row r="731">
      <c r="A731" s="64"/>
    </row>
    <row r="732">
      <c r="A732" s="64"/>
    </row>
    <row r="733">
      <c r="A733" s="64"/>
    </row>
    <row r="734">
      <c r="A734" s="64"/>
    </row>
    <row r="735">
      <c r="A735" s="64"/>
    </row>
    <row r="736">
      <c r="A736" s="64"/>
    </row>
    <row r="737">
      <c r="A737" s="64"/>
    </row>
    <row r="738">
      <c r="A738" s="64"/>
    </row>
    <row r="739">
      <c r="A739" s="64"/>
    </row>
    <row r="740">
      <c r="A740" s="64"/>
    </row>
    <row r="741">
      <c r="A741" s="64"/>
    </row>
    <row r="742">
      <c r="A742" s="64"/>
    </row>
    <row r="743">
      <c r="A743" s="64"/>
    </row>
    <row r="744">
      <c r="A744" s="64"/>
    </row>
    <row r="745">
      <c r="A745" s="64"/>
    </row>
    <row r="746">
      <c r="A746" s="64"/>
    </row>
    <row r="747">
      <c r="A747" s="64"/>
    </row>
    <row r="748">
      <c r="A748" s="64"/>
    </row>
    <row r="749">
      <c r="A749" s="64"/>
    </row>
    <row r="750">
      <c r="A750" s="64"/>
    </row>
    <row r="751">
      <c r="A751" s="64"/>
    </row>
    <row r="752">
      <c r="A752" s="64"/>
    </row>
    <row r="753">
      <c r="A753" s="64"/>
    </row>
    <row r="754">
      <c r="A754" s="64"/>
    </row>
    <row r="755">
      <c r="A755" s="64"/>
    </row>
    <row r="756">
      <c r="A756" s="64"/>
    </row>
    <row r="757">
      <c r="A757" s="64"/>
    </row>
    <row r="758">
      <c r="A758" s="64"/>
    </row>
    <row r="759">
      <c r="A759" s="64"/>
    </row>
    <row r="760">
      <c r="A760" s="64"/>
    </row>
    <row r="761">
      <c r="A761" s="64"/>
    </row>
    <row r="762">
      <c r="A762" s="64"/>
    </row>
    <row r="763">
      <c r="A763" s="64"/>
    </row>
    <row r="764">
      <c r="A764" s="64"/>
    </row>
    <row r="765">
      <c r="A765" s="64"/>
    </row>
    <row r="766">
      <c r="A766" s="64"/>
    </row>
    <row r="767">
      <c r="A767" s="64"/>
    </row>
    <row r="768">
      <c r="A768" s="64"/>
    </row>
    <row r="769">
      <c r="A769" s="64"/>
    </row>
    <row r="770">
      <c r="A770" s="64"/>
    </row>
    <row r="771">
      <c r="A771" s="64"/>
    </row>
    <row r="772">
      <c r="A772" s="64"/>
    </row>
    <row r="773">
      <c r="A773" s="64"/>
    </row>
    <row r="774">
      <c r="A774" s="64"/>
    </row>
    <row r="775">
      <c r="A775" s="64"/>
    </row>
    <row r="776">
      <c r="A776" s="64"/>
    </row>
    <row r="777">
      <c r="A777" s="64"/>
    </row>
    <row r="778">
      <c r="A778" s="64"/>
    </row>
    <row r="779">
      <c r="A779" s="64"/>
    </row>
    <row r="780">
      <c r="A780" s="64"/>
    </row>
    <row r="781">
      <c r="A781" s="64"/>
    </row>
    <row r="782">
      <c r="A782" s="64"/>
    </row>
    <row r="783">
      <c r="A783" s="64"/>
    </row>
    <row r="784">
      <c r="A784" s="64"/>
    </row>
    <row r="785">
      <c r="A785" s="64"/>
    </row>
    <row r="786">
      <c r="A786" s="64"/>
    </row>
    <row r="787">
      <c r="A787" s="64"/>
    </row>
    <row r="788">
      <c r="A788" s="64"/>
    </row>
    <row r="789">
      <c r="A789" s="64"/>
    </row>
    <row r="790">
      <c r="A790" s="64"/>
    </row>
    <row r="791">
      <c r="A791" s="64"/>
    </row>
    <row r="792">
      <c r="A792" s="64"/>
    </row>
    <row r="793">
      <c r="A793" s="64"/>
    </row>
    <row r="794">
      <c r="A794" s="64"/>
    </row>
    <row r="795">
      <c r="A795" s="64"/>
    </row>
    <row r="796">
      <c r="A796" s="64"/>
    </row>
    <row r="797">
      <c r="A797" s="64"/>
    </row>
    <row r="798">
      <c r="A798" s="64"/>
    </row>
    <row r="799">
      <c r="A799" s="64"/>
    </row>
    <row r="800">
      <c r="A800" s="64"/>
    </row>
    <row r="801">
      <c r="A801" s="64"/>
    </row>
    <row r="802">
      <c r="A802" s="64"/>
    </row>
    <row r="803">
      <c r="A803" s="64"/>
    </row>
    <row r="804">
      <c r="A804" s="64"/>
    </row>
    <row r="805">
      <c r="A805" s="64"/>
    </row>
    <row r="806">
      <c r="A806" s="64"/>
    </row>
    <row r="807">
      <c r="A807" s="64"/>
    </row>
    <row r="808">
      <c r="A808" s="64"/>
    </row>
    <row r="809">
      <c r="A809" s="64"/>
    </row>
    <row r="810">
      <c r="A810" s="64"/>
    </row>
    <row r="811">
      <c r="A811" s="64"/>
    </row>
    <row r="812">
      <c r="A812" s="64"/>
    </row>
    <row r="813">
      <c r="A813" s="64"/>
    </row>
    <row r="814">
      <c r="A814" s="64"/>
    </row>
    <row r="815">
      <c r="A815" s="64"/>
    </row>
    <row r="816">
      <c r="A816" s="64"/>
    </row>
    <row r="817">
      <c r="A817" s="64"/>
    </row>
    <row r="818">
      <c r="A818" s="64"/>
    </row>
    <row r="819">
      <c r="A819" s="64"/>
    </row>
    <row r="820">
      <c r="A820" s="64"/>
    </row>
    <row r="821">
      <c r="A821" s="64"/>
    </row>
    <row r="822">
      <c r="A822" s="64"/>
    </row>
    <row r="823">
      <c r="A823" s="64"/>
    </row>
    <row r="824">
      <c r="A824" s="64"/>
    </row>
    <row r="825">
      <c r="A825" s="64"/>
    </row>
    <row r="826">
      <c r="A826" s="64"/>
    </row>
    <row r="827">
      <c r="A827" s="64"/>
    </row>
    <row r="828">
      <c r="A828" s="64"/>
    </row>
    <row r="829">
      <c r="A829" s="64"/>
    </row>
    <row r="830">
      <c r="A830" s="64"/>
    </row>
    <row r="831">
      <c r="A831" s="64"/>
    </row>
    <row r="832">
      <c r="A832" s="64"/>
    </row>
    <row r="833">
      <c r="A833" s="64"/>
    </row>
    <row r="834">
      <c r="A834" s="64"/>
    </row>
    <row r="835">
      <c r="A835" s="64"/>
    </row>
    <row r="836">
      <c r="A836" s="64"/>
    </row>
    <row r="837">
      <c r="A837" s="64"/>
    </row>
    <row r="838">
      <c r="A838" s="64"/>
    </row>
    <row r="839">
      <c r="A839" s="64"/>
    </row>
    <row r="840">
      <c r="A840" s="64"/>
    </row>
    <row r="841">
      <c r="A841" s="64"/>
    </row>
    <row r="842">
      <c r="A842" s="64"/>
    </row>
    <row r="843">
      <c r="A843" s="64"/>
    </row>
    <row r="844">
      <c r="A844" s="64"/>
    </row>
    <row r="845">
      <c r="A845" s="64"/>
    </row>
    <row r="846">
      <c r="A846" s="64"/>
    </row>
    <row r="847">
      <c r="A847" s="64"/>
    </row>
    <row r="848">
      <c r="A848" s="64"/>
    </row>
    <row r="849">
      <c r="A849" s="64"/>
    </row>
    <row r="850">
      <c r="A850" s="64"/>
    </row>
    <row r="851">
      <c r="A851" s="64"/>
    </row>
    <row r="852">
      <c r="A852" s="64"/>
    </row>
    <row r="853">
      <c r="A853" s="64"/>
    </row>
    <row r="854">
      <c r="A854" s="64"/>
    </row>
    <row r="855">
      <c r="A855" s="64"/>
    </row>
    <row r="856">
      <c r="A856" s="64"/>
    </row>
    <row r="857">
      <c r="A857" s="64"/>
    </row>
    <row r="858">
      <c r="A858" s="64"/>
    </row>
    <row r="859">
      <c r="A859" s="64"/>
    </row>
    <row r="860">
      <c r="A860" s="64"/>
    </row>
    <row r="861">
      <c r="A861" s="64"/>
    </row>
    <row r="862">
      <c r="A862" s="64"/>
    </row>
    <row r="863">
      <c r="A863" s="64"/>
    </row>
    <row r="864">
      <c r="A864" s="64"/>
    </row>
    <row r="865">
      <c r="A865" s="64"/>
    </row>
    <row r="866">
      <c r="A866" s="64"/>
    </row>
    <row r="867">
      <c r="A867" s="64"/>
    </row>
    <row r="868">
      <c r="A868" s="64"/>
    </row>
    <row r="869">
      <c r="A869" s="64"/>
    </row>
    <row r="870">
      <c r="A870" s="64"/>
    </row>
    <row r="871">
      <c r="A871" s="64"/>
    </row>
    <row r="872">
      <c r="A872" s="64"/>
    </row>
    <row r="873">
      <c r="A873" s="64"/>
    </row>
    <row r="874">
      <c r="A874" s="64"/>
    </row>
    <row r="875">
      <c r="A875" s="64"/>
    </row>
    <row r="876">
      <c r="A876" s="64"/>
    </row>
    <row r="877">
      <c r="A877" s="64"/>
    </row>
    <row r="878">
      <c r="A878" s="64"/>
    </row>
    <row r="879">
      <c r="A879" s="64"/>
    </row>
    <row r="880">
      <c r="A880" s="64"/>
    </row>
    <row r="881">
      <c r="A881" s="64"/>
    </row>
    <row r="882">
      <c r="A882" s="64"/>
    </row>
    <row r="883">
      <c r="A883" s="64"/>
    </row>
    <row r="884">
      <c r="A884" s="64"/>
    </row>
    <row r="885">
      <c r="A885" s="64"/>
    </row>
    <row r="886">
      <c r="A886" s="64"/>
    </row>
    <row r="887">
      <c r="A887" s="64"/>
    </row>
    <row r="888">
      <c r="A888" s="64"/>
    </row>
    <row r="889">
      <c r="A889" s="64"/>
    </row>
    <row r="890">
      <c r="A890" s="64"/>
    </row>
    <row r="891">
      <c r="A891" s="64"/>
    </row>
    <row r="892">
      <c r="A892" s="64"/>
    </row>
    <row r="893">
      <c r="A893" s="64"/>
    </row>
    <row r="894">
      <c r="A894" s="64"/>
    </row>
    <row r="895">
      <c r="A895" s="64"/>
    </row>
    <row r="896">
      <c r="A896" s="64"/>
    </row>
    <row r="897">
      <c r="A897" s="64"/>
    </row>
    <row r="898">
      <c r="A898" s="64"/>
    </row>
    <row r="899">
      <c r="A899" s="64"/>
    </row>
    <row r="900">
      <c r="A900" s="64"/>
    </row>
    <row r="901">
      <c r="A901" s="64"/>
    </row>
    <row r="902">
      <c r="A902" s="64"/>
    </row>
    <row r="903">
      <c r="A903" s="64"/>
    </row>
    <row r="904">
      <c r="A904" s="64"/>
    </row>
    <row r="905">
      <c r="A905" s="64"/>
    </row>
    <row r="906">
      <c r="A906" s="64"/>
    </row>
    <row r="907">
      <c r="A907" s="64"/>
    </row>
    <row r="908">
      <c r="A908" s="64"/>
    </row>
    <row r="909">
      <c r="A909" s="64"/>
    </row>
    <row r="910">
      <c r="A910" s="64"/>
    </row>
    <row r="911">
      <c r="A911" s="64"/>
    </row>
    <row r="912">
      <c r="A912" s="64"/>
    </row>
    <row r="913">
      <c r="A913" s="64"/>
    </row>
    <row r="914">
      <c r="A914" s="64"/>
    </row>
    <row r="915">
      <c r="A915" s="64"/>
    </row>
    <row r="916">
      <c r="A916" s="64"/>
    </row>
    <row r="917">
      <c r="A917" s="64"/>
    </row>
    <row r="918">
      <c r="A918" s="64"/>
    </row>
    <row r="919">
      <c r="A919" s="64"/>
    </row>
    <row r="920">
      <c r="A920" s="64"/>
    </row>
    <row r="921">
      <c r="A921" s="64"/>
    </row>
    <row r="922">
      <c r="A922" s="64"/>
    </row>
    <row r="923">
      <c r="A923" s="64"/>
    </row>
    <row r="924">
      <c r="A924" s="64"/>
    </row>
    <row r="925">
      <c r="A925" s="64"/>
    </row>
    <row r="926">
      <c r="A926" s="64"/>
    </row>
    <row r="927">
      <c r="A927" s="64"/>
    </row>
    <row r="928">
      <c r="A928" s="64"/>
    </row>
    <row r="929">
      <c r="A929" s="64"/>
    </row>
    <row r="930">
      <c r="A930" s="64"/>
    </row>
    <row r="931">
      <c r="A931" s="64"/>
    </row>
    <row r="932">
      <c r="A932" s="64"/>
    </row>
    <row r="933">
      <c r="A933" s="64"/>
    </row>
    <row r="934">
      <c r="A934" s="64"/>
    </row>
    <row r="935">
      <c r="A935" s="64"/>
    </row>
    <row r="936">
      <c r="A936" s="64"/>
    </row>
    <row r="937">
      <c r="A937" s="64"/>
    </row>
    <row r="938">
      <c r="A938" s="64"/>
    </row>
    <row r="939">
      <c r="A939" s="64"/>
    </row>
    <row r="940">
      <c r="A940" s="64"/>
    </row>
    <row r="941">
      <c r="A941" s="64"/>
    </row>
    <row r="942">
      <c r="A942" s="64"/>
    </row>
    <row r="943">
      <c r="A943" s="64"/>
    </row>
    <row r="944">
      <c r="A944" s="64"/>
    </row>
    <row r="945">
      <c r="A945" s="64"/>
    </row>
    <row r="946">
      <c r="A946" s="64"/>
    </row>
    <row r="947">
      <c r="A947" s="64"/>
    </row>
    <row r="948">
      <c r="A948" s="64"/>
    </row>
    <row r="949">
      <c r="A949" s="64"/>
    </row>
    <row r="950">
      <c r="A950" s="64"/>
    </row>
    <row r="951">
      <c r="A951" s="64"/>
    </row>
    <row r="952">
      <c r="A952" s="64"/>
    </row>
    <row r="953">
      <c r="A953" s="64"/>
    </row>
    <row r="954">
      <c r="A954" s="64"/>
    </row>
    <row r="955">
      <c r="A955" s="64"/>
    </row>
    <row r="956">
      <c r="A956" s="64"/>
    </row>
    <row r="957">
      <c r="A957" s="64"/>
    </row>
    <row r="958">
      <c r="A958" s="64"/>
    </row>
    <row r="959">
      <c r="A959" s="64"/>
    </row>
    <row r="960">
      <c r="A960" s="64"/>
    </row>
    <row r="961">
      <c r="A961" s="64"/>
    </row>
    <row r="962">
      <c r="A962" s="64"/>
    </row>
    <row r="963">
      <c r="A963" s="64"/>
    </row>
    <row r="964">
      <c r="A964" s="64"/>
    </row>
    <row r="965">
      <c r="A965" s="64"/>
    </row>
    <row r="966">
      <c r="A966" s="64"/>
    </row>
    <row r="967">
      <c r="A967" s="64"/>
    </row>
    <row r="968">
      <c r="A968" s="64"/>
    </row>
    <row r="969">
      <c r="A969" s="64"/>
    </row>
    <row r="970">
      <c r="A970" s="64"/>
    </row>
    <row r="971">
      <c r="A971" s="64"/>
    </row>
    <row r="972">
      <c r="A972" s="64"/>
    </row>
    <row r="973">
      <c r="A973" s="64"/>
    </row>
    <row r="974">
      <c r="A974" s="64"/>
    </row>
    <row r="975">
      <c r="A975" s="64"/>
    </row>
    <row r="976">
      <c r="A976" s="64"/>
    </row>
    <row r="977">
      <c r="A977" s="64"/>
    </row>
    <row r="978">
      <c r="A978" s="64"/>
    </row>
    <row r="979">
      <c r="A979" s="64"/>
    </row>
    <row r="980">
      <c r="A980" s="64"/>
    </row>
    <row r="981">
      <c r="A981" s="64"/>
    </row>
    <row r="982">
      <c r="A982" s="64"/>
    </row>
    <row r="983">
      <c r="A983" s="64"/>
    </row>
    <row r="984">
      <c r="A984" s="64"/>
    </row>
    <row r="985">
      <c r="A985" s="64"/>
    </row>
    <row r="986">
      <c r="A986" s="64"/>
    </row>
    <row r="987">
      <c r="A987" s="64"/>
    </row>
    <row r="988">
      <c r="A988" s="64"/>
    </row>
    <row r="989">
      <c r="A989" s="64"/>
    </row>
    <row r="990">
      <c r="A990" s="64"/>
    </row>
    <row r="991">
      <c r="A991" s="64"/>
    </row>
    <row r="992">
      <c r="A992" s="64"/>
    </row>
    <row r="993">
      <c r="A993" s="64"/>
    </row>
    <row r="994">
      <c r="A994" s="64"/>
    </row>
    <row r="995">
      <c r="A995" s="64"/>
    </row>
    <row r="996">
      <c r="A996" s="64"/>
    </row>
    <row r="997">
      <c r="A997" s="64"/>
    </row>
    <row r="998">
      <c r="A998" s="64"/>
    </row>
    <row r="999">
      <c r="A999" s="64"/>
    </row>
    <row r="1000">
      <c r="A1000" s="6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