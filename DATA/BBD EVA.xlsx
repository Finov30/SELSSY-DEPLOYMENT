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eMzPEHkHgjKBD2qyn5wm4Q+s1HmB736hYbtDz9wMUo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ID#AAABptJwqOU
Etienne Faucher    (2025-08-22 13:02:41)
EVA, proposer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emVK2Sf/RlgfHWc9+PnqQdiVK/g=="/>
    </ext>
  </extLst>
</comments>
</file>

<file path=xl/sharedStrings.xml><?xml version="1.0" encoding="utf-8"?>
<sst xmlns="http://schemas.openxmlformats.org/spreadsheetml/2006/main" count="3325" uniqueCount="352">
  <si>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</si>
  <si>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</si>
  <si>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</si>
  <si>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</si>
  <si>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</si>
  <si>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</si>
  <si>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</si>
  <si>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</si>
  <si>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</si>
  <si>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</si>
  <si>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</si>
  <si>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</si>
  <si>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</si>
  <si>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</si>
  <si>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</si>
  <si>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</si>
  <si>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</si>
  <si>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</si>
  <si>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</si>
  <si>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</si>
  <si>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</si>
  <si>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</si>
  <si>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</si>
  <si>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</si>
  <si>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</si>
  <si>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</si>
  <si>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</si>
  <si>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</si>
  <si>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</si>
  <si>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</si>
  <si>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</si>
  <si>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</si>
  <si>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</si>
  <si>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</si>
  <si>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</si>
  <si>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</si>
  <si>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CARLA BLANC + REHAUSSE 13</t>
  </si>
  <si>
    <t>10*15</t>
  </si>
  <si>
    <t>072263</t>
  </si>
  <si>
    <t>CARLA</t>
  </si>
  <si>
    <t>CADRES GALERIE</t>
  </si>
  <si>
    <t>EVA</t>
  </si>
  <si>
    <t>BLANC</t>
  </si>
  <si>
    <t>REHAUSSE 13mm</t>
  </si>
  <si>
    <t>VERRE</t>
  </si>
  <si>
    <t>Pas de passepartout</t>
  </si>
  <si>
    <t>Dos classique sans chevalet</t>
  </si>
  <si>
    <t>(Largeur 15mm Profondeur 30mm)</t>
  </si>
  <si>
    <t>072263DC</t>
  </si>
  <si>
    <t>DOS AVEC CHEVALET</t>
  </si>
  <si>
    <t>11*11</t>
  </si>
  <si>
    <t>072264</t>
  </si>
  <si>
    <t>13*18</t>
  </si>
  <si>
    <t>072266</t>
  </si>
  <si>
    <t>072266DC</t>
  </si>
  <si>
    <t>14*14</t>
  </si>
  <si>
    <t>072268</t>
  </si>
  <si>
    <t>15*20</t>
  </si>
  <si>
    <t>054202</t>
  </si>
  <si>
    <t>15*21</t>
  </si>
  <si>
    <t>072269</t>
  </si>
  <si>
    <t>072269DC</t>
  </si>
  <si>
    <t>18*24</t>
  </si>
  <si>
    <t>072270</t>
  </si>
  <si>
    <t>072270DC</t>
  </si>
  <si>
    <t>18*35</t>
  </si>
  <si>
    <t>072271</t>
  </si>
  <si>
    <t>20*20</t>
  </si>
  <si>
    <t>072272</t>
  </si>
  <si>
    <t>20*30</t>
  </si>
  <si>
    <t>072273</t>
  </si>
  <si>
    <t>072273DC</t>
  </si>
  <si>
    <t>20*50</t>
  </si>
  <si>
    <t>072274</t>
  </si>
  <si>
    <t>20*60</t>
  </si>
  <si>
    <t>072275</t>
  </si>
  <si>
    <t>21*29,7</t>
  </si>
  <si>
    <t>072276</t>
  </si>
  <si>
    <t>23*50</t>
  </si>
  <si>
    <t>072277</t>
  </si>
  <si>
    <t>24*30</t>
  </si>
  <si>
    <t>072278</t>
  </si>
  <si>
    <t>25*50</t>
  </si>
  <si>
    <t>072279</t>
  </si>
  <si>
    <t>29,7*42</t>
  </si>
  <si>
    <t>072280</t>
  </si>
  <si>
    <t>30*30</t>
  </si>
  <si>
    <t>072281</t>
  </si>
  <si>
    <t>30*40</t>
  </si>
  <si>
    <t>072282</t>
  </si>
  <si>
    <t>30*45</t>
  </si>
  <si>
    <t>072283</t>
  </si>
  <si>
    <t>33*95</t>
  </si>
  <si>
    <t>072284</t>
  </si>
  <si>
    <t>40*40</t>
  </si>
  <si>
    <t>072285</t>
  </si>
  <si>
    <t>40*50</t>
  </si>
  <si>
    <t>072286</t>
  </si>
  <si>
    <t>40*60</t>
  </si>
  <si>
    <t>072287</t>
  </si>
  <si>
    <t>42*59,4</t>
  </si>
  <si>
    <t>068141</t>
  </si>
  <si>
    <t>46*61</t>
  </si>
  <si>
    <t>072288</t>
  </si>
  <si>
    <t>50*50</t>
  </si>
  <si>
    <t>072289</t>
  </si>
  <si>
    <t>50*60</t>
  </si>
  <si>
    <t>072290</t>
  </si>
  <si>
    <t>50*65</t>
  </si>
  <si>
    <t>072291</t>
  </si>
  <si>
    <t>50*70</t>
  </si>
  <si>
    <t>072292</t>
  </si>
  <si>
    <t>60*60</t>
  </si>
  <si>
    <t>054302</t>
  </si>
  <si>
    <t>60*80</t>
  </si>
  <si>
    <t>072293</t>
  </si>
  <si>
    <t>CARLA BLANC</t>
  </si>
  <si>
    <t>072098</t>
  </si>
  <si>
    <t>CADRES CLASSIQUES</t>
  </si>
  <si>
    <t>PAS DE REHAUSSE</t>
  </si>
  <si>
    <t>072098DC</t>
  </si>
  <si>
    <t>072099</t>
  </si>
  <si>
    <t>072101</t>
  </si>
  <si>
    <t>072101DC</t>
  </si>
  <si>
    <t>072103</t>
  </si>
  <si>
    <t>072104</t>
  </si>
  <si>
    <t>072104DC</t>
  </si>
  <si>
    <t>072105</t>
  </si>
  <si>
    <t>072105DC</t>
  </si>
  <si>
    <t>072106</t>
  </si>
  <si>
    <t>072107</t>
  </si>
  <si>
    <t>072108</t>
  </si>
  <si>
    <t>072108DC</t>
  </si>
  <si>
    <t>072109</t>
  </si>
  <si>
    <t>072110</t>
  </si>
  <si>
    <t>072111</t>
  </si>
  <si>
    <t>072112</t>
  </si>
  <si>
    <t>072113</t>
  </si>
  <si>
    <t>072114</t>
  </si>
  <si>
    <t>072115</t>
  </si>
  <si>
    <t>072116</t>
  </si>
  <si>
    <t>072117</t>
  </si>
  <si>
    <t>072118</t>
  </si>
  <si>
    <t>072119</t>
  </si>
  <si>
    <t>072120</t>
  </si>
  <si>
    <t>072121</t>
  </si>
  <si>
    <t>072122</t>
  </si>
  <si>
    <t>072123</t>
  </si>
  <si>
    <t>072124</t>
  </si>
  <si>
    <t>072125</t>
  </si>
  <si>
    <t>072126</t>
  </si>
  <si>
    <t>072127</t>
  </si>
  <si>
    <t>072128</t>
  </si>
  <si>
    <t>CARLA BRUT + REHAUSSE 13</t>
  </si>
  <si>
    <t>072362</t>
  </si>
  <si>
    <t>BRUT</t>
  </si>
  <si>
    <t>072362DC</t>
  </si>
  <si>
    <t>072363</t>
  </si>
  <si>
    <t>072365</t>
  </si>
  <si>
    <t>072365DC</t>
  </si>
  <si>
    <t>072367</t>
  </si>
  <si>
    <t>054200</t>
  </si>
  <si>
    <t>072368</t>
  </si>
  <si>
    <t>072368DC</t>
  </si>
  <si>
    <t>072369</t>
  </si>
  <si>
    <t>072369DC</t>
  </si>
  <si>
    <t>072370</t>
  </si>
  <si>
    <t>072371</t>
  </si>
  <si>
    <t>072372</t>
  </si>
  <si>
    <t>072372DC</t>
  </si>
  <si>
    <t>072373</t>
  </si>
  <si>
    <t>072374</t>
  </si>
  <si>
    <t>072375</t>
  </si>
  <si>
    <t>072376</t>
  </si>
  <si>
    <t>072377</t>
  </si>
  <si>
    <t>072378</t>
  </si>
  <si>
    <t>072379</t>
  </si>
  <si>
    <t>072380</t>
  </si>
  <si>
    <t>072381</t>
  </si>
  <si>
    <t>072382</t>
  </si>
  <si>
    <t>072383</t>
  </si>
  <si>
    <t>072384</t>
  </si>
  <si>
    <t>072385</t>
  </si>
  <si>
    <t>072386</t>
  </si>
  <si>
    <t>068139</t>
  </si>
  <si>
    <t>072387</t>
  </si>
  <si>
    <t>072388</t>
  </si>
  <si>
    <t>072389</t>
  </si>
  <si>
    <t>072390</t>
  </si>
  <si>
    <t>072391</t>
  </si>
  <si>
    <t>054300</t>
  </si>
  <si>
    <t>072392</t>
  </si>
  <si>
    <t>CARLA BRUT</t>
  </si>
  <si>
    <t>072197</t>
  </si>
  <si>
    <t>072197DC</t>
  </si>
  <si>
    <t>072198</t>
  </si>
  <si>
    <t>072200</t>
  </si>
  <si>
    <t>072200DC</t>
  </si>
  <si>
    <t>072202</t>
  </si>
  <si>
    <t>072203</t>
  </si>
  <si>
    <t>072203DC</t>
  </si>
  <si>
    <t>072204</t>
  </si>
  <si>
    <t>072204DC</t>
  </si>
  <si>
    <t>072205</t>
  </si>
  <si>
    <t>072206</t>
  </si>
  <si>
    <t>072207</t>
  </si>
  <si>
    <t>072207DC</t>
  </si>
  <si>
    <t>072208</t>
  </si>
  <si>
    <t>072209</t>
  </si>
  <si>
    <t>072210</t>
  </si>
  <si>
    <t>072211</t>
  </si>
  <si>
    <t>072212</t>
  </si>
  <si>
    <t>072213</t>
  </si>
  <si>
    <t>072214</t>
  </si>
  <si>
    <t>072215</t>
  </si>
  <si>
    <t>072216</t>
  </si>
  <si>
    <t>072217</t>
  </si>
  <si>
    <t>072218</t>
  </si>
  <si>
    <t>072219</t>
  </si>
  <si>
    <t>072220</t>
  </si>
  <si>
    <t>072221</t>
  </si>
  <si>
    <t>072222</t>
  </si>
  <si>
    <t>072223</t>
  </si>
  <si>
    <t>072224</t>
  </si>
  <si>
    <t>072225</t>
  </si>
  <si>
    <t>072226</t>
  </si>
  <si>
    <t>072227</t>
  </si>
  <si>
    <t>CARLA CHENE+ REHAUSSE 13</t>
  </si>
  <si>
    <t>070867</t>
  </si>
  <si>
    <t>CHENE</t>
  </si>
  <si>
    <t>REHAUSSE 10mm</t>
  </si>
  <si>
    <t>070867DC</t>
  </si>
  <si>
    <t>070868</t>
  </si>
  <si>
    <t>070870</t>
  </si>
  <si>
    <t>070870DC</t>
  </si>
  <si>
    <t>070872</t>
  </si>
  <si>
    <t>054203</t>
  </si>
  <si>
    <t>070873</t>
  </si>
  <si>
    <t>070873DC</t>
  </si>
  <si>
    <t>070874</t>
  </si>
  <si>
    <t>070874DC</t>
  </si>
  <si>
    <t>070875</t>
  </si>
  <si>
    <t>070876</t>
  </si>
  <si>
    <t>070877</t>
  </si>
  <si>
    <t>070877DC</t>
  </si>
  <si>
    <t>070878</t>
  </si>
  <si>
    <t>070879</t>
  </si>
  <si>
    <t>070880</t>
  </si>
  <si>
    <t>070881</t>
  </si>
  <si>
    <t>070882</t>
  </si>
  <si>
    <t>070883</t>
  </si>
  <si>
    <t>070884</t>
  </si>
  <si>
    <t>070885</t>
  </si>
  <si>
    <t>070886</t>
  </si>
  <si>
    <t>070887</t>
  </si>
  <si>
    <t>070888</t>
  </si>
  <si>
    <t>070889</t>
  </si>
  <si>
    <t>070890</t>
  </si>
  <si>
    <t>070891</t>
  </si>
  <si>
    <t>068142</t>
  </si>
  <si>
    <t>070892</t>
  </si>
  <si>
    <t>070893</t>
  </si>
  <si>
    <t>070894</t>
  </si>
  <si>
    <t>070895</t>
  </si>
  <si>
    <t>070896</t>
  </si>
  <si>
    <t>054303</t>
  </si>
  <si>
    <t>070897</t>
  </si>
  <si>
    <t>CARLA NOIR + REHAUSSE 13</t>
  </si>
  <si>
    <t>072230</t>
  </si>
  <si>
    <t>NOIR</t>
  </si>
  <si>
    <t>072230DC</t>
  </si>
  <si>
    <t>072231</t>
  </si>
  <si>
    <t>072233</t>
  </si>
  <si>
    <t>072233DC</t>
  </si>
  <si>
    <t>072235</t>
  </si>
  <si>
    <t>054201</t>
  </si>
  <si>
    <t>072236</t>
  </si>
  <si>
    <t>072236DC</t>
  </si>
  <si>
    <t>072237</t>
  </si>
  <si>
    <t>072237DC</t>
  </si>
  <si>
    <t>072238</t>
  </si>
  <si>
    <t>072239</t>
  </si>
  <si>
    <t>072240</t>
  </si>
  <si>
    <t>072240DC</t>
  </si>
  <si>
    <t>072241</t>
  </si>
  <si>
    <t>072242</t>
  </si>
  <si>
    <t>072243</t>
  </si>
  <si>
    <t>072244</t>
  </si>
  <si>
    <t>072245</t>
  </si>
  <si>
    <t>072246</t>
  </si>
  <si>
    <t>072247</t>
  </si>
  <si>
    <t>072248</t>
  </si>
  <si>
    <t>072249</t>
  </si>
  <si>
    <t>072250</t>
  </si>
  <si>
    <t>072251</t>
  </si>
  <si>
    <t>072252</t>
  </si>
  <si>
    <t>072253</t>
  </si>
  <si>
    <t>072254</t>
  </si>
  <si>
    <t>068140</t>
  </si>
  <si>
    <t>072255</t>
  </si>
  <si>
    <t>072256</t>
  </si>
  <si>
    <t>072257</t>
  </si>
  <si>
    <t>072258</t>
  </si>
  <si>
    <t>072259</t>
  </si>
  <si>
    <t>054301</t>
  </si>
  <si>
    <t>072260</t>
  </si>
  <si>
    <t xml:space="preserve">CARLA NOIR </t>
  </si>
  <si>
    <t>072065</t>
  </si>
  <si>
    <t>072065DC</t>
  </si>
  <si>
    <t>072066</t>
  </si>
  <si>
    <t>072068</t>
  </si>
  <si>
    <t>072068DC</t>
  </si>
  <si>
    <t>072070</t>
  </si>
  <si>
    <t>072071</t>
  </si>
  <si>
    <t>072071DC</t>
  </si>
  <si>
    <t>072072</t>
  </si>
  <si>
    <t>072072DC</t>
  </si>
  <si>
    <t>072073</t>
  </si>
  <si>
    <t>072074</t>
  </si>
  <si>
    <t>072075</t>
  </si>
  <si>
    <t>072075DC</t>
  </si>
  <si>
    <t>072076</t>
  </si>
  <si>
    <t>072077</t>
  </si>
  <si>
    <t>072078</t>
  </si>
  <si>
    <t>072079</t>
  </si>
  <si>
    <t>072080</t>
  </si>
  <si>
    <t>072081</t>
  </si>
  <si>
    <t>072082</t>
  </si>
  <si>
    <t>072083</t>
  </si>
  <si>
    <t>072084</t>
  </si>
  <si>
    <t>072085</t>
  </si>
  <si>
    <t>072086</t>
  </si>
  <si>
    <t>072087</t>
  </si>
  <si>
    <t>072088</t>
  </si>
  <si>
    <t>072089</t>
  </si>
  <si>
    <t>072090</t>
  </si>
  <si>
    <t>072091</t>
  </si>
  <si>
    <t>072092</t>
  </si>
  <si>
    <t>072093</t>
  </si>
  <si>
    <t>072094</t>
  </si>
  <si>
    <t>072095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</si>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</sst>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253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33.0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4.0</v>
      </c>
      <c r="H4" s="46">
        <v>3.785581502558544</v>
      </c>
      <c r="I4" s="47" t="s">
        <v>39</v>
      </c>
      <c r="J4" s="39" t="str">
        <f t="shared" ref="J4:J253" si="2">CONCATENATE(D4," - ",I4)</f>
        <v>072263 - CARLA</v>
      </c>
      <c r="K4" s="47">
        <f t="shared" ref="K4:K253" si="3">L4*1.825</f>
        <v>7.0445</v>
      </c>
      <c r="L4" s="48">
        <v>3.86</v>
      </c>
      <c r="M4" s="49">
        <f t="shared" ref="M4:M253" si="4">$M$3*L4</f>
        <v>7.0445</v>
      </c>
      <c r="N4" s="39" t="s">
        <v>40</v>
      </c>
      <c r="O4" s="39" t="s">
        <v>41</v>
      </c>
      <c r="P4" s="39" t="s">
        <v>42</v>
      </c>
      <c r="Q4" s="47" t="str">
        <f t="shared" ref="Q4:Q253" si="5">C4</f>
        <v>10*15</v>
      </c>
      <c r="R4" s="50">
        <v>1.0</v>
      </c>
      <c r="S4" s="51">
        <v>1.0</v>
      </c>
      <c r="T4" s="51">
        <v>1.0</v>
      </c>
      <c r="U4" s="51">
        <v>0.0</v>
      </c>
      <c r="V4" s="47" t="s">
        <v>43</v>
      </c>
      <c r="W4" s="47" t="str">
        <f t="shared" ref="W4:W253" si="6">CONCATENATE(P4 , " - " , C4 , " - " , V4 , " - " , AD4)</f>
        <v>BLANC - 10*15 - REHAUSSE 13mm - (Largeur 15mm Profondeur 30mm)</v>
      </c>
      <c r="X4" s="50">
        <v>0.0</v>
      </c>
      <c r="Y4" s="52" t="s">
        <v>44</v>
      </c>
      <c r="Z4" s="47" t="str">
        <f t="shared" ref="Z4:Z253" si="7">CONCATENATE(B4," ",C4," ",Y4)</f>
        <v>CARLA BLANC + REHAUSSE 13 10*15 VERRE</v>
      </c>
      <c r="AA4" s="39" t="s">
        <v>45</v>
      </c>
      <c r="AB4" s="39" t="s">
        <v>46</v>
      </c>
      <c r="AC4" s="47" t="str">
        <f t="shared" ref="AC4:AC253" si="8">Z4</f>
        <v>CARLA BLANC + REHAUSSE 13 10*15 VERRE</v>
      </c>
      <c r="AD4" s="39" t="s">
        <v>47</v>
      </c>
      <c r="AE4" s="39" t="str">
        <f t="shared" ref="AE4:AE253" si="9">CONCATENATE(O4," "," ",C4," ",P4," ",Y4," ",V4," - ",N4," - ",AA4," - ",AB4," ",AD4)</f>
        <v>EVA  10*15 BLANC VERRE REHAUSSE 13mm - CADRES GALERIE - Pas de passepartout - Dos classique sans chevalet (Largeur 15mm Profondeur 30mm)</v>
      </c>
      <c r="AF4" s="39" t="str">
        <f t="shared" si="1"/>
        <v>EVA  10*15 BLANC VERRE REHAUSSE 13mm - CADRES GALERIE - Pas de passepartout - Dos classique sans chevalet (Largeur 15mm Profondeur 30mm)</v>
      </c>
      <c r="AG4" s="53">
        <f t="shared" ref="AG4:AG253" si="10">$AG$3*H4</f>
        <v>6.814046705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33.0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4.0</v>
      </c>
      <c r="H5" s="54">
        <v>3.785581502558544</v>
      </c>
      <c r="I5" s="47" t="s">
        <v>39</v>
      </c>
      <c r="J5" s="39" t="str">
        <f t="shared" si="2"/>
        <v>072263DC - CARLA</v>
      </c>
      <c r="K5" s="47">
        <f t="shared" si="3"/>
        <v>7.0445</v>
      </c>
      <c r="L5" s="48">
        <v>3.86</v>
      </c>
      <c r="M5" s="49">
        <f t="shared" si="4"/>
        <v>7.0445</v>
      </c>
      <c r="N5" s="39" t="s">
        <v>40</v>
      </c>
      <c r="O5" s="39" t="s">
        <v>41</v>
      </c>
      <c r="P5" s="39" t="s">
        <v>42</v>
      </c>
      <c r="Q5" s="47" t="str">
        <f t="shared" si="5"/>
        <v>10*15</v>
      </c>
      <c r="R5" s="50">
        <v>1.0</v>
      </c>
      <c r="S5" s="51">
        <v>1.0</v>
      </c>
      <c r="T5" s="51">
        <v>1.0</v>
      </c>
      <c r="U5" s="51">
        <v>1.0</v>
      </c>
      <c r="V5" s="47" t="s">
        <v>43</v>
      </c>
      <c r="W5" s="47" t="str">
        <f t="shared" si="6"/>
        <v>BLANC - 10*15 - REHAUSSE 13mm - (Largeur 15mm Profondeur 30mm)</v>
      </c>
      <c r="X5" s="50">
        <v>0.0</v>
      </c>
      <c r="Y5" s="52" t="s">
        <v>44</v>
      </c>
      <c r="Z5" s="47" t="str">
        <f t="shared" si="7"/>
        <v>CARLA BLANC + REHAUSSE 13 10*15 VERRE</v>
      </c>
      <c r="AA5" s="39" t="s">
        <v>45</v>
      </c>
      <c r="AB5" s="39" t="s">
        <v>49</v>
      </c>
      <c r="AC5" s="47" t="str">
        <f t="shared" si="8"/>
        <v>CARLA BLANC + REHAUSSE 13 10*15 VERRE</v>
      </c>
      <c r="AD5" s="39" t="s">
        <v>47</v>
      </c>
      <c r="AE5" s="39" t="str">
        <f t="shared" si="9"/>
        <v>EVA  10*15 BLANC VERRE REHAUSSE 13mm - CADRES GALERIE - Pas de passepartout - DOS AVEC CHEVALET (Largeur 15mm Profondeur 30mm)</v>
      </c>
      <c r="AF5" s="39" t="str">
        <f t="shared" si="1"/>
        <v>EVA  10*15 BLANC VERRE REHAUSSE 13mm - CADRES GALERIE - Pas de passepartout - DOS AVEC CHEVALET (Largeur 15mm Profondeur 30mm)</v>
      </c>
      <c r="AG5" s="53">
        <f t="shared" si="10"/>
        <v>6.814046705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34.0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1.0</v>
      </c>
      <c r="H6" s="54">
        <v>3.4465350518313422</v>
      </c>
      <c r="I6" s="47" t="s">
        <v>39</v>
      </c>
      <c r="J6" s="39" t="str">
        <f t="shared" si="2"/>
        <v>072264 - CARLA</v>
      </c>
      <c r="K6" s="47">
        <f t="shared" si="3"/>
        <v>6.40575</v>
      </c>
      <c r="L6" s="48">
        <v>3.51</v>
      </c>
      <c r="M6" s="49">
        <f t="shared" si="4"/>
        <v>6.40575</v>
      </c>
      <c r="N6" s="39" t="s">
        <v>40</v>
      </c>
      <c r="O6" s="39" t="s">
        <v>41</v>
      </c>
      <c r="P6" s="39" t="s">
        <v>42</v>
      </c>
      <c r="Q6" s="47" t="str">
        <f t="shared" si="5"/>
        <v>11*11</v>
      </c>
      <c r="R6" s="50">
        <v>1.0</v>
      </c>
      <c r="S6" s="51">
        <v>1.0</v>
      </c>
      <c r="T6" s="51">
        <v>0.0</v>
      </c>
      <c r="U6" s="51">
        <v>0.0</v>
      </c>
      <c r="V6" s="47" t="s">
        <v>43</v>
      </c>
      <c r="W6" s="47" t="str">
        <f t="shared" si="6"/>
        <v>BLANC - 11*11 - REHAUSSE 13mm - (Largeur 15mm Profondeur 30mm)</v>
      </c>
      <c r="X6" s="50">
        <v>0.0</v>
      </c>
      <c r="Y6" s="52" t="s">
        <v>44</v>
      </c>
      <c r="Z6" s="47" t="str">
        <f t="shared" si="7"/>
        <v>CARLA BLANC + REHAUSSE 13 11*11 VERRE</v>
      </c>
      <c r="AA6" s="39" t="s">
        <v>45</v>
      </c>
      <c r="AB6" s="39" t="s">
        <v>46</v>
      </c>
      <c r="AC6" s="47" t="str">
        <f t="shared" si="8"/>
        <v>CARLA BLANC + REHAUSSE 13 11*11 VERRE</v>
      </c>
      <c r="AD6" s="39" t="s">
        <v>47</v>
      </c>
      <c r="AE6" s="39" t="str">
        <f t="shared" si="9"/>
        <v>EVA  11*11 BLANC VERRE REHAUSSE 13mm - CADRES GALERIE - Pas de passepartout - Dos classique sans chevalet (Largeur 15mm Profondeur 30mm)</v>
      </c>
      <c r="AF6" s="39" t="str">
        <f t="shared" si="1"/>
        <v>EVA  11*11 BLANC VERRE REHAUSSE 13mm - CADRES GALERIE - Pas de passepartout - Dos classique sans chevalet (Largeur 15mm Profondeur 30mm)</v>
      </c>
      <c r="AG6" s="53">
        <f t="shared" si="10"/>
        <v>6.203763093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35.0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5.0</v>
      </c>
      <c r="H7" s="54">
        <v>4.497775787838505</v>
      </c>
      <c r="I7" s="47" t="s">
        <v>39</v>
      </c>
      <c r="J7" s="39" t="str">
        <f t="shared" si="2"/>
        <v>072266 - CARLA</v>
      </c>
      <c r="K7" s="47">
        <f t="shared" si="3"/>
        <v>8.3585</v>
      </c>
      <c r="L7" s="48">
        <v>4.58</v>
      </c>
      <c r="M7" s="49">
        <f t="shared" si="4"/>
        <v>8.3585</v>
      </c>
      <c r="N7" s="39" t="s">
        <v>40</v>
      </c>
      <c r="O7" s="39" t="s">
        <v>41</v>
      </c>
      <c r="P7" s="39" t="s">
        <v>42</v>
      </c>
      <c r="Q7" s="47" t="str">
        <f t="shared" si="5"/>
        <v>13*18</v>
      </c>
      <c r="R7" s="50">
        <v>1.0</v>
      </c>
      <c r="S7" s="51">
        <v>1.0</v>
      </c>
      <c r="T7" s="51">
        <v>1.0</v>
      </c>
      <c r="U7" s="51">
        <v>0.0</v>
      </c>
      <c r="V7" s="47" t="s">
        <v>43</v>
      </c>
      <c r="W7" s="47" t="str">
        <f t="shared" si="6"/>
        <v>BLANC - 13*18 - REHAUSSE 13mm - (Largeur 15mm Profondeur 30mm)</v>
      </c>
      <c r="X7" s="50">
        <v>0.0</v>
      </c>
      <c r="Y7" s="52" t="s">
        <v>44</v>
      </c>
      <c r="Z7" s="47" t="str">
        <f t="shared" si="7"/>
        <v>CARLA BLANC + REHAUSSE 13 13*18 VERRE</v>
      </c>
      <c r="AA7" s="39" t="s">
        <v>45</v>
      </c>
      <c r="AB7" s="39" t="s">
        <v>46</v>
      </c>
      <c r="AC7" s="47" t="str">
        <f t="shared" si="8"/>
        <v>CARLA BLANC + REHAUSSE 13 13*18 VERRE</v>
      </c>
      <c r="AD7" s="39" t="s">
        <v>47</v>
      </c>
      <c r="AE7" s="39" t="str">
        <f t="shared" si="9"/>
        <v>EVA  13*18 BLANC VERRE REHAUSSE 13mm - CADRES GALERIE - Pas de passepartout - Dos classique sans chevalet (Largeur 15mm Profondeur 30mm)</v>
      </c>
      <c r="AF7" s="39" t="str">
        <f t="shared" si="1"/>
        <v>EVA  13*18 BLANC VERRE REHAUSSE 13mm - CADRES GALERIE - Pas de passepartout - Dos classique sans chevalet (Largeur 15mm Profondeur 30mm)</v>
      </c>
      <c r="AG7" s="53">
        <f t="shared" si="10"/>
        <v>8.095996418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35.0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5.0</v>
      </c>
      <c r="H8" s="54">
        <v>4.497775787838505</v>
      </c>
      <c r="I8" s="47" t="s">
        <v>39</v>
      </c>
      <c r="J8" s="39" t="str">
        <f t="shared" si="2"/>
        <v>072266DC - CARLA</v>
      </c>
      <c r="K8" s="47">
        <f t="shared" si="3"/>
        <v>8.3585</v>
      </c>
      <c r="L8" s="48">
        <v>4.58</v>
      </c>
      <c r="M8" s="49">
        <f t="shared" si="4"/>
        <v>8.3585</v>
      </c>
      <c r="N8" s="39" t="s">
        <v>40</v>
      </c>
      <c r="O8" s="39" t="s">
        <v>41</v>
      </c>
      <c r="P8" s="39" t="s">
        <v>42</v>
      </c>
      <c r="Q8" s="47" t="str">
        <f t="shared" si="5"/>
        <v>13*18</v>
      </c>
      <c r="R8" s="50">
        <v>1.0</v>
      </c>
      <c r="S8" s="51">
        <v>1.0</v>
      </c>
      <c r="T8" s="51">
        <v>1.0</v>
      </c>
      <c r="U8" s="51">
        <v>1.0</v>
      </c>
      <c r="V8" s="47" t="s">
        <v>43</v>
      </c>
      <c r="W8" s="47" t="str">
        <f t="shared" si="6"/>
        <v>BLANC - 13*18 - REHAUSSE 13mm - (Largeur 15mm Profondeur 30mm)</v>
      </c>
      <c r="X8" s="50">
        <v>0.0</v>
      </c>
      <c r="Y8" s="52" t="s">
        <v>44</v>
      </c>
      <c r="Z8" s="47" t="str">
        <f t="shared" si="7"/>
        <v>CARLA BLANC + REHAUSSE 13 13*18 VERRE</v>
      </c>
      <c r="AA8" s="39" t="s">
        <v>45</v>
      </c>
      <c r="AB8" s="39" t="s">
        <v>49</v>
      </c>
      <c r="AC8" s="47" t="str">
        <f t="shared" si="8"/>
        <v>CARLA BLANC + REHAUSSE 13 13*18 VERRE</v>
      </c>
      <c r="AD8" s="39" t="s">
        <v>47</v>
      </c>
      <c r="AE8" s="39" t="str">
        <f t="shared" si="9"/>
        <v>EVA  13*18 BLANC VERRE REHAUSSE 13mm - CADRES GALERIE - Pas de passepartout - DOS AVEC CHEVALET (Largeur 15mm Profondeur 30mm)</v>
      </c>
      <c r="AF8" s="39" t="str">
        <f t="shared" si="1"/>
        <v>EVA  13*18 BLANC VERRE REHAUSSE 13mm - CADRES GALERIE - Pas de passepartout - DOS AVEC CHEVALET (Largeur 15mm Profondeur 30mm)</v>
      </c>
      <c r="AG8" s="53">
        <f t="shared" si="10"/>
        <v>8.095996418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36.0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9.0</v>
      </c>
      <c r="H9" s="54">
        <v>4.146925011940919</v>
      </c>
      <c r="I9" s="47" t="s">
        <v>39</v>
      </c>
      <c r="J9" s="39" t="str">
        <f t="shared" si="2"/>
        <v>072268 - CARLA</v>
      </c>
      <c r="K9" s="47">
        <f t="shared" si="3"/>
        <v>7.71975</v>
      </c>
      <c r="L9" s="48">
        <v>4.23</v>
      </c>
      <c r="M9" s="49">
        <f t="shared" si="4"/>
        <v>7.71975</v>
      </c>
      <c r="N9" s="39" t="s">
        <v>40</v>
      </c>
      <c r="O9" s="39" t="s">
        <v>41</v>
      </c>
      <c r="P9" s="39" t="s">
        <v>42</v>
      </c>
      <c r="Q9" s="47" t="str">
        <f t="shared" si="5"/>
        <v>14*14</v>
      </c>
      <c r="R9" s="50">
        <v>1.0</v>
      </c>
      <c r="S9" s="51">
        <v>1.0</v>
      </c>
      <c r="T9" s="51">
        <v>0.0</v>
      </c>
      <c r="U9" s="51">
        <v>0.0</v>
      </c>
      <c r="V9" s="47" t="s">
        <v>43</v>
      </c>
      <c r="W9" s="47" t="str">
        <f t="shared" si="6"/>
        <v>BLANC - 14*14 - REHAUSSE 13mm - (Largeur 15mm Profondeur 30mm)</v>
      </c>
      <c r="X9" s="50">
        <v>0.0</v>
      </c>
      <c r="Y9" s="52" t="s">
        <v>44</v>
      </c>
      <c r="Z9" s="47" t="str">
        <f t="shared" si="7"/>
        <v>CARLA BLANC + REHAUSSE 13 14*14 VERRE</v>
      </c>
      <c r="AA9" s="39" t="s">
        <v>45</v>
      </c>
      <c r="AB9" s="39" t="s">
        <v>46</v>
      </c>
      <c r="AC9" s="47" t="str">
        <f t="shared" si="8"/>
        <v>CARLA BLANC + REHAUSSE 13 14*14 VERRE</v>
      </c>
      <c r="AD9" s="39" t="s">
        <v>47</v>
      </c>
      <c r="AE9" s="39" t="str">
        <f t="shared" si="9"/>
        <v>EVA  14*14 BLANC VERRE REHAUSSE 13mm - CADRES GALERIE - Pas de passepartout - Dos classique sans chevalet (Largeur 15mm Profondeur 30mm)</v>
      </c>
      <c r="AF9" s="39" t="str">
        <f t="shared" si="1"/>
        <v>EVA  14*14 BLANC VERRE REHAUSSE 13mm - CADRES GALERIE - Pas de passepartout - Dos classique sans chevalet (Largeur 15mm Profondeur 30mm)</v>
      </c>
      <c r="AG9" s="53">
        <f t="shared" si="10"/>
        <v>7.464465021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37.0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7.0</v>
      </c>
      <c r="H10" s="54">
        <v>5.10545</v>
      </c>
      <c r="I10" s="47" t="s">
        <v>39</v>
      </c>
      <c r="J10" s="39" t="str">
        <f t="shared" si="2"/>
        <v>054202 - CARLA</v>
      </c>
      <c r="K10" s="47">
        <f t="shared" si="3"/>
        <v>9.49</v>
      </c>
      <c r="L10" s="48">
        <v>5.2</v>
      </c>
      <c r="M10" s="49">
        <f t="shared" si="4"/>
        <v>9.49</v>
      </c>
      <c r="N10" s="39" t="s">
        <v>40</v>
      </c>
      <c r="O10" s="39" t="s">
        <v>41</v>
      </c>
      <c r="P10" s="39" t="s">
        <v>42</v>
      </c>
      <c r="Q10" s="47" t="str">
        <f t="shared" si="5"/>
        <v>15*20</v>
      </c>
      <c r="R10" s="50">
        <v>1.0</v>
      </c>
      <c r="S10" s="51">
        <v>1.0</v>
      </c>
      <c r="T10" s="51">
        <v>0.0</v>
      </c>
      <c r="U10" s="51">
        <v>0.0</v>
      </c>
      <c r="V10" s="47" t="s">
        <v>43</v>
      </c>
      <c r="W10" s="47" t="str">
        <f t="shared" si="6"/>
        <v>BLANC - 15*20 - REHAUSSE 13mm - (Largeur 15mm Profondeur 30mm)</v>
      </c>
      <c r="X10" s="50">
        <v>0.0</v>
      </c>
      <c r="Y10" s="52" t="s">
        <v>44</v>
      </c>
      <c r="Z10" s="47" t="str">
        <f t="shared" si="7"/>
        <v>CARLA BLANC + REHAUSSE 13 15*20 VERRE</v>
      </c>
      <c r="AA10" s="39" t="s">
        <v>45</v>
      </c>
      <c r="AB10" s="39" t="s">
        <v>46</v>
      </c>
      <c r="AC10" s="47" t="str">
        <f t="shared" si="8"/>
        <v>CARLA BLANC + REHAUSSE 13 15*20 VERRE</v>
      </c>
      <c r="AD10" s="39" t="s">
        <v>47</v>
      </c>
      <c r="AE10" s="39" t="str">
        <f t="shared" si="9"/>
        <v>EVA  15*20 BLANC VERRE REHAUSSE 13mm - CADRES GALERIE - Pas de passepartout - Dos classique sans chevalet (Largeur 15mm Profondeur 30mm)</v>
      </c>
      <c r="AF10" s="39" t="str">
        <f t="shared" si="1"/>
        <v>EVA  15*20 BLANC VERRE REHAUSSE 13mm - CADRES GALERIE - Pas de passepartout - Dos classique sans chevalet (Largeur 15mm Profondeur 30mm)</v>
      </c>
      <c r="AG10" s="53">
        <f t="shared" si="10"/>
        <v>9.18981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38.0</v>
      </c>
      <c r="B11" s="40" t="s">
        <v>36</v>
      </c>
      <c r="C11" s="41" t="s">
        <v>59</v>
      </c>
      <c r="D11" s="42" t="s">
        <v>60</v>
      </c>
      <c r="E11" s="43">
        <v>345707.0</v>
      </c>
      <c r="F11" s="44" t="s">
        <v>60</v>
      </c>
      <c r="G11" s="45">
        <v>6.0</v>
      </c>
      <c r="H11" s="54">
        <v>5.105698534113389</v>
      </c>
      <c r="I11" s="47" t="s">
        <v>39</v>
      </c>
      <c r="J11" s="39" t="str">
        <f t="shared" si="2"/>
        <v>072269 - CARLA</v>
      </c>
      <c r="K11" s="47">
        <f t="shared" si="3"/>
        <v>9.49</v>
      </c>
      <c r="L11" s="48">
        <v>5.2</v>
      </c>
      <c r="M11" s="49">
        <f t="shared" si="4"/>
        <v>9.49</v>
      </c>
      <c r="N11" s="39" t="s">
        <v>40</v>
      </c>
      <c r="O11" s="39" t="s">
        <v>41</v>
      </c>
      <c r="P11" s="39" t="s">
        <v>42</v>
      </c>
      <c r="Q11" s="47" t="str">
        <f t="shared" si="5"/>
        <v>15*21</v>
      </c>
      <c r="R11" s="50">
        <v>1.0</v>
      </c>
      <c r="S11" s="51">
        <v>1.0</v>
      </c>
      <c r="T11" s="51">
        <v>1.0</v>
      </c>
      <c r="U11" s="51">
        <v>0.0</v>
      </c>
      <c r="V11" s="47" t="s">
        <v>43</v>
      </c>
      <c r="W11" s="47" t="str">
        <f t="shared" si="6"/>
        <v>BLANC - 15*21 - REHAUSSE 13mm - (Largeur 15mm Profondeur 30mm)</v>
      </c>
      <c r="X11" s="50">
        <v>0.0</v>
      </c>
      <c r="Y11" s="52" t="s">
        <v>44</v>
      </c>
      <c r="Z11" s="47" t="str">
        <f t="shared" si="7"/>
        <v>CARLA BLANC + REHAUSSE 13 15*21 VERRE</v>
      </c>
      <c r="AA11" s="39" t="s">
        <v>45</v>
      </c>
      <c r="AB11" s="39" t="s">
        <v>46</v>
      </c>
      <c r="AC11" s="47" t="str">
        <f t="shared" si="8"/>
        <v>CARLA BLANC + REHAUSSE 13 15*21 VERRE</v>
      </c>
      <c r="AD11" s="39" t="s">
        <v>47</v>
      </c>
      <c r="AE11" s="39" t="str">
        <f t="shared" si="9"/>
        <v>EVA  15*21 BLANC VERRE REHAUSSE 13mm - CADRES GALERIE - Pas de passepartout - Dos classique sans chevalet (Largeur 15mm Profondeur 30mm)</v>
      </c>
      <c r="AF11" s="39" t="str">
        <f t="shared" si="1"/>
        <v>EVA  15*21 BLANC VERRE REHAUSSE 13mm - CADRES GALERIE - Pas de passepartout - Dos classique sans chevalet (Largeur 15mm Profondeur 30mm)</v>
      </c>
      <c r="AG11" s="53">
        <f t="shared" si="10"/>
        <v>9.190257361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38.0</v>
      </c>
      <c r="B12" s="40" t="s">
        <v>36</v>
      </c>
      <c r="C12" s="41" t="s">
        <v>59</v>
      </c>
      <c r="D12" s="42" t="s">
        <v>61</v>
      </c>
      <c r="E12" s="43">
        <v>345707.0</v>
      </c>
      <c r="F12" s="44" t="s">
        <v>60</v>
      </c>
      <c r="G12" s="45">
        <v>6.0</v>
      </c>
      <c r="H12" s="54">
        <v>5.105698534113389</v>
      </c>
      <c r="I12" s="47" t="s">
        <v>39</v>
      </c>
      <c r="J12" s="39" t="str">
        <f t="shared" si="2"/>
        <v>072269DC - CARLA</v>
      </c>
      <c r="K12" s="47">
        <f t="shared" si="3"/>
        <v>9.49</v>
      </c>
      <c r="L12" s="48">
        <v>5.2</v>
      </c>
      <c r="M12" s="49">
        <f t="shared" si="4"/>
        <v>9.49</v>
      </c>
      <c r="N12" s="39" t="s">
        <v>40</v>
      </c>
      <c r="O12" s="39" t="s">
        <v>41</v>
      </c>
      <c r="P12" s="39" t="s">
        <v>42</v>
      </c>
      <c r="Q12" s="47" t="str">
        <f t="shared" si="5"/>
        <v>15*21</v>
      </c>
      <c r="R12" s="50">
        <v>1.0</v>
      </c>
      <c r="S12" s="51">
        <v>1.0</v>
      </c>
      <c r="T12" s="51">
        <v>1.0</v>
      </c>
      <c r="U12" s="51">
        <v>1.0</v>
      </c>
      <c r="V12" s="47" t="s">
        <v>43</v>
      </c>
      <c r="W12" s="47" t="str">
        <f t="shared" si="6"/>
        <v>BLANC - 15*21 - REHAUSSE 13mm - (Largeur 15mm Profondeur 30mm)</v>
      </c>
      <c r="X12" s="50">
        <v>0.0</v>
      </c>
      <c r="Y12" s="52" t="s">
        <v>44</v>
      </c>
      <c r="Z12" s="47" t="str">
        <f t="shared" si="7"/>
        <v>CARLA BLANC + REHAUSSE 13 15*21 VERRE</v>
      </c>
      <c r="AA12" s="39" t="s">
        <v>45</v>
      </c>
      <c r="AB12" s="39" t="s">
        <v>49</v>
      </c>
      <c r="AC12" s="47" t="str">
        <f t="shared" si="8"/>
        <v>CARLA BLANC + REHAUSSE 13 15*21 VERRE</v>
      </c>
      <c r="AD12" s="39" t="s">
        <v>47</v>
      </c>
      <c r="AE12" s="39" t="str">
        <f t="shared" si="9"/>
        <v>EVA  15*21 BLANC VERRE REHAUSSE 13mm - CADRES GALERIE - Pas de passepartout - DOS AVEC CHEVALET (Largeur 15mm Profondeur 30mm)</v>
      </c>
      <c r="AF12" s="39" t="str">
        <f t="shared" si="1"/>
        <v>EVA  15*21 BLANC VERRE REHAUSSE 13mm - CADRES GALERIE - Pas de passepartout - DOS AVEC CHEVALET (Largeur 15mm Profondeur 30mm)</v>
      </c>
      <c r="AG12" s="53">
        <f t="shared" si="10"/>
        <v>9.190257361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39.0</v>
      </c>
      <c r="B13" s="40" t="s">
        <v>36</v>
      </c>
      <c r="C13" s="41" t="s">
        <v>62</v>
      </c>
      <c r="D13" s="42" t="s">
        <v>63</v>
      </c>
      <c r="E13" s="43">
        <v>345707.0</v>
      </c>
      <c r="F13" s="44" t="s">
        <v>63</v>
      </c>
      <c r="G13" s="45">
        <v>2.0</v>
      </c>
      <c r="H13" s="54">
        <v>5.861175345018101</v>
      </c>
      <c r="I13" s="47" t="s">
        <v>39</v>
      </c>
      <c r="J13" s="39" t="str">
        <f t="shared" si="2"/>
        <v>072270 - CARLA</v>
      </c>
      <c r="K13" s="47">
        <f t="shared" si="3"/>
        <v>10.89525</v>
      </c>
      <c r="L13" s="48">
        <v>5.97</v>
      </c>
      <c r="M13" s="49">
        <f t="shared" si="4"/>
        <v>10.89525</v>
      </c>
      <c r="N13" s="39" t="s">
        <v>40</v>
      </c>
      <c r="O13" s="39" t="s">
        <v>41</v>
      </c>
      <c r="P13" s="39" t="s">
        <v>42</v>
      </c>
      <c r="Q13" s="47" t="str">
        <f t="shared" si="5"/>
        <v>18*24</v>
      </c>
      <c r="R13" s="50">
        <v>1.0</v>
      </c>
      <c r="S13" s="51">
        <v>1.0</v>
      </c>
      <c r="T13" s="51">
        <v>1.0</v>
      </c>
      <c r="U13" s="51">
        <v>0.0</v>
      </c>
      <c r="V13" s="47" t="s">
        <v>43</v>
      </c>
      <c r="W13" s="47" t="str">
        <f t="shared" si="6"/>
        <v>BLANC - 18*24 - REHAUSSE 13mm - (Largeur 15mm Profondeur 30mm)</v>
      </c>
      <c r="X13" s="50">
        <v>0.0</v>
      </c>
      <c r="Y13" s="52" t="s">
        <v>44</v>
      </c>
      <c r="Z13" s="47" t="str">
        <f t="shared" si="7"/>
        <v>CARLA BLANC + REHAUSSE 13 18*24 VERRE</v>
      </c>
      <c r="AA13" s="39" t="s">
        <v>45</v>
      </c>
      <c r="AB13" s="39" t="s">
        <v>46</v>
      </c>
      <c r="AC13" s="47" t="str">
        <f t="shared" si="8"/>
        <v>CARLA BLANC + REHAUSSE 13 18*24 VERRE</v>
      </c>
      <c r="AD13" s="39" t="s">
        <v>47</v>
      </c>
      <c r="AE13" s="39" t="str">
        <f t="shared" si="9"/>
        <v>EVA  18*24 BLANC VERRE REHAUSSE 13mm - CADRES GALERIE - Pas de passepartout - Dos classique sans chevalet (Largeur 15mm Profondeur 30mm)</v>
      </c>
      <c r="AF13" s="39" t="str">
        <f t="shared" si="1"/>
        <v>EVA  18*24 BLANC VERRE REHAUSSE 13mm - CADRES GALERIE - Pas de passepartout - Dos classique sans chevalet (Largeur 15mm Profondeur 30mm)</v>
      </c>
      <c r="AG13" s="53">
        <f t="shared" si="10"/>
        <v>10.55011562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39.0</v>
      </c>
      <c r="B14" s="40" t="s">
        <v>36</v>
      </c>
      <c r="C14" s="41" t="s">
        <v>62</v>
      </c>
      <c r="D14" s="42" t="s">
        <v>64</v>
      </c>
      <c r="E14" s="43">
        <v>345707.0</v>
      </c>
      <c r="F14" s="44" t="s">
        <v>63</v>
      </c>
      <c r="G14" s="45">
        <v>2.0</v>
      </c>
      <c r="H14" s="54">
        <v>5.861175345018101</v>
      </c>
      <c r="I14" s="47" t="s">
        <v>39</v>
      </c>
      <c r="J14" s="39" t="str">
        <f t="shared" si="2"/>
        <v>072270DC - CARLA</v>
      </c>
      <c r="K14" s="47">
        <f t="shared" si="3"/>
        <v>10.89525</v>
      </c>
      <c r="L14" s="48">
        <v>5.97</v>
      </c>
      <c r="M14" s="49">
        <f t="shared" si="4"/>
        <v>10.89525</v>
      </c>
      <c r="N14" s="39" t="s">
        <v>40</v>
      </c>
      <c r="O14" s="39" t="s">
        <v>41</v>
      </c>
      <c r="P14" s="39" t="s">
        <v>42</v>
      </c>
      <c r="Q14" s="47" t="str">
        <f t="shared" si="5"/>
        <v>18*24</v>
      </c>
      <c r="R14" s="50">
        <v>1.0</v>
      </c>
      <c r="S14" s="51">
        <v>1.0</v>
      </c>
      <c r="T14" s="51">
        <v>1.0</v>
      </c>
      <c r="U14" s="51">
        <v>1.0</v>
      </c>
      <c r="V14" s="47" t="s">
        <v>43</v>
      </c>
      <c r="W14" s="47" t="str">
        <f t="shared" si="6"/>
        <v>BLANC - 18*24 - REHAUSSE 13mm - (Largeur 15mm Profondeur 30mm)</v>
      </c>
      <c r="X14" s="50">
        <v>0.0</v>
      </c>
      <c r="Y14" s="52" t="s">
        <v>44</v>
      </c>
      <c r="Z14" s="47" t="str">
        <f t="shared" si="7"/>
        <v>CARLA BLANC + REHAUSSE 13 18*24 VERRE</v>
      </c>
      <c r="AA14" s="39" t="s">
        <v>45</v>
      </c>
      <c r="AB14" s="39" t="s">
        <v>49</v>
      </c>
      <c r="AC14" s="47" t="str">
        <f t="shared" si="8"/>
        <v>CARLA BLANC + REHAUSSE 13 18*24 VERRE</v>
      </c>
      <c r="AD14" s="39" t="s">
        <v>47</v>
      </c>
      <c r="AE14" s="39" t="str">
        <f t="shared" si="9"/>
        <v>EVA  18*24 BLANC VERRE REHAUSSE 13mm - CADRES GALERIE - Pas de passepartout - DOS AVEC CHEVALET (Largeur 15mm Profondeur 30mm)</v>
      </c>
      <c r="AF14" s="39" t="str">
        <f t="shared" si="1"/>
        <v>EVA  18*24 BLANC VERRE REHAUSSE 13mm - CADRES GALERIE - Pas de passepartout - DOS AVEC CHEVALET (Largeur 15mm Profondeur 30mm)</v>
      </c>
      <c r="AG14" s="53">
        <f t="shared" si="10"/>
        <v>10.55011562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40.0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9.0</v>
      </c>
      <c r="H15" s="54">
        <v>7.224574902197697</v>
      </c>
      <c r="I15" s="47" t="s">
        <v>39</v>
      </c>
      <c r="J15" s="39" t="str">
        <f t="shared" si="2"/>
        <v>072271 - CARLA</v>
      </c>
      <c r="K15" s="47">
        <f t="shared" si="3"/>
        <v>13.432</v>
      </c>
      <c r="L15" s="48">
        <v>7.36</v>
      </c>
      <c r="M15" s="49">
        <f t="shared" si="4"/>
        <v>13.432</v>
      </c>
      <c r="N15" s="39" t="s">
        <v>40</v>
      </c>
      <c r="O15" s="39" t="s">
        <v>41</v>
      </c>
      <c r="P15" s="39" t="s">
        <v>42</v>
      </c>
      <c r="Q15" s="47" t="str">
        <f t="shared" si="5"/>
        <v>18*35</v>
      </c>
      <c r="R15" s="50">
        <v>1.0</v>
      </c>
      <c r="S15" s="51">
        <v>1.0</v>
      </c>
      <c r="T15" s="51">
        <v>0.0</v>
      </c>
      <c r="U15" s="51">
        <v>0.0</v>
      </c>
      <c r="V15" s="47" t="s">
        <v>43</v>
      </c>
      <c r="W15" s="47" t="str">
        <f t="shared" si="6"/>
        <v>BLANC - 18*35 - REHAUSSE 13mm - (Largeur 15mm Profondeur 30mm)</v>
      </c>
      <c r="X15" s="50">
        <v>0.0</v>
      </c>
      <c r="Y15" s="52" t="s">
        <v>44</v>
      </c>
      <c r="Z15" s="47" t="str">
        <f t="shared" si="7"/>
        <v>CARLA BLANC + REHAUSSE 13 18*35 VERRE</v>
      </c>
      <c r="AA15" s="39" t="s">
        <v>45</v>
      </c>
      <c r="AB15" s="39" t="s">
        <v>46</v>
      </c>
      <c r="AC15" s="47" t="str">
        <f t="shared" si="8"/>
        <v>CARLA BLANC + REHAUSSE 13 18*35 VERRE</v>
      </c>
      <c r="AD15" s="39" t="s">
        <v>47</v>
      </c>
      <c r="AE15" s="39" t="str">
        <f t="shared" si="9"/>
        <v>EVA  18*35 BLANC VERRE REHAUSSE 13mm - CADRES GALERIE - Pas de passepartout - Dos classique sans chevalet (Largeur 15mm Profondeur 30mm)</v>
      </c>
      <c r="AF15" s="39" t="str">
        <f t="shared" si="1"/>
        <v>EVA  18*35 BLANC VERRE REHAUSSE 13mm - CADRES GALERIE - Pas de passepartout - Dos classique sans chevalet (Largeur 15mm Profondeur 30mm)</v>
      </c>
      <c r="AG15" s="53">
        <f t="shared" si="10"/>
        <v>13.00423482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41.0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6.0</v>
      </c>
      <c r="H16" s="54">
        <v>5.6185308831823875</v>
      </c>
      <c r="I16" s="47" t="s">
        <v>39</v>
      </c>
      <c r="J16" s="39" t="str">
        <f t="shared" si="2"/>
        <v>072272 - CARLA</v>
      </c>
      <c r="K16" s="47">
        <f t="shared" si="3"/>
        <v>10.45725</v>
      </c>
      <c r="L16" s="48">
        <v>5.73</v>
      </c>
      <c r="M16" s="49">
        <f t="shared" si="4"/>
        <v>10.45725</v>
      </c>
      <c r="N16" s="39" t="s">
        <v>40</v>
      </c>
      <c r="O16" s="39" t="s">
        <v>41</v>
      </c>
      <c r="P16" s="39" t="s">
        <v>42</v>
      </c>
      <c r="Q16" s="47" t="str">
        <f t="shared" si="5"/>
        <v>20*20</v>
      </c>
      <c r="R16" s="50">
        <v>1.0</v>
      </c>
      <c r="S16" s="51">
        <v>1.0</v>
      </c>
      <c r="T16" s="51">
        <v>0.0</v>
      </c>
      <c r="U16" s="51">
        <v>0.0</v>
      </c>
      <c r="V16" s="47" t="s">
        <v>43</v>
      </c>
      <c r="W16" s="47" t="str">
        <f t="shared" si="6"/>
        <v>BLANC - 20*20 - REHAUSSE 13mm - (Largeur 15mm Profondeur 30mm)</v>
      </c>
      <c r="X16" s="50">
        <v>0.0</v>
      </c>
      <c r="Y16" s="52" t="s">
        <v>44</v>
      </c>
      <c r="Z16" s="47" t="str">
        <f t="shared" si="7"/>
        <v>CARLA BLANC + REHAUSSE 13 20*20 VERRE</v>
      </c>
      <c r="AA16" s="39" t="s">
        <v>45</v>
      </c>
      <c r="AB16" s="39" t="s">
        <v>46</v>
      </c>
      <c r="AC16" s="47" t="str">
        <f t="shared" si="8"/>
        <v>CARLA BLANC + REHAUSSE 13 20*20 VERRE</v>
      </c>
      <c r="AD16" s="39" t="s">
        <v>47</v>
      </c>
      <c r="AE16" s="39" t="str">
        <f t="shared" si="9"/>
        <v>EVA  20*20 BLANC VERRE REHAUSSE 13mm - CADRES GALERIE - Pas de passepartout - Dos classique sans chevalet (Largeur 15mm Profondeur 30mm)</v>
      </c>
      <c r="AF16" s="39" t="str">
        <f t="shared" si="1"/>
        <v>EVA  20*20 BLANC VERRE REHAUSSE 13mm - CADRES GALERIE - Pas de passepartout - Dos classique sans chevalet (Largeur 15mm Profondeur 30mm)</v>
      </c>
      <c r="AG16" s="53">
        <f t="shared" si="10"/>
        <v>10.11335559</v>
      </c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42.0</v>
      </c>
      <c r="B17" s="40" t="s">
        <v>36</v>
      </c>
      <c r="C17" s="41" t="s">
        <v>69</v>
      </c>
      <c r="D17" s="42" t="s">
        <v>70</v>
      </c>
      <c r="E17" s="43">
        <v>345707.0</v>
      </c>
      <c r="F17" s="44" t="s">
        <v>70</v>
      </c>
      <c r="G17" s="45">
        <v>3.0</v>
      </c>
      <c r="H17" s="54">
        <v>6.8842168597849</v>
      </c>
      <c r="I17" s="47" t="s">
        <v>39</v>
      </c>
      <c r="J17" s="39" t="str">
        <f t="shared" si="2"/>
        <v>072273 - CARLA</v>
      </c>
      <c r="K17" s="47">
        <f t="shared" si="3"/>
        <v>12.8115</v>
      </c>
      <c r="L17" s="48">
        <v>7.02</v>
      </c>
      <c r="M17" s="49">
        <f t="shared" si="4"/>
        <v>12.8115</v>
      </c>
      <c r="N17" s="39" t="s">
        <v>40</v>
      </c>
      <c r="O17" s="39" t="s">
        <v>41</v>
      </c>
      <c r="P17" s="39" t="s">
        <v>42</v>
      </c>
      <c r="Q17" s="47" t="str">
        <f t="shared" si="5"/>
        <v>20*30</v>
      </c>
      <c r="R17" s="50">
        <v>1.0</v>
      </c>
      <c r="S17" s="51">
        <v>1.0</v>
      </c>
      <c r="T17" s="51">
        <v>1.0</v>
      </c>
      <c r="U17" s="51">
        <v>0.0</v>
      </c>
      <c r="V17" s="47" t="s">
        <v>43</v>
      </c>
      <c r="W17" s="47" t="str">
        <f t="shared" si="6"/>
        <v>BLANC - 20*30 - REHAUSSE 13mm - (Largeur 15mm Profondeur 30mm)</v>
      </c>
      <c r="X17" s="50">
        <v>0.0</v>
      </c>
      <c r="Y17" s="52" t="s">
        <v>44</v>
      </c>
      <c r="Z17" s="47" t="str">
        <f t="shared" si="7"/>
        <v>CARLA BLANC + REHAUSSE 13 20*30 VERRE</v>
      </c>
      <c r="AA17" s="39" t="s">
        <v>45</v>
      </c>
      <c r="AB17" s="39" t="s">
        <v>46</v>
      </c>
      <c r="AC17" s="47" t="str">
        <f t="shared" si="8"/>
        <v>CARLA BLANC + REHAUSSE 13 20*30 VERRE</v>
      </c>
      <c r="AD17" s="39" t="s">
        <v>47</v>
      </c>
      <c r="AE17" s="39" t="str">
        <f t="shared" si="9"/>
        <v>EVA  20*30 BLANC VERRE REHAUSSE 13mm - CADRES GALERIE - Pas de passepartout - Dos classique sans chevalet (Largeur 15mm Profondeur 30mm)</v>
      </c>
      <c r="AF17" s="39" t="str">
        <f t="shared" si="1"/>
        <v>EVA  20*30 BLANC VERRE REHAUSSE 13mm - CADRES GALERIE - Pas de passepartout - Dos classique sans chevalet (Largeur 15mm Profondeur 30mm)</v>
      </c>
      <c r="AG17" s="53">
        <f t="shared" si="10"/>
        <v>12.39159035</v>
      </c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42.0</v>
      </c>
      <c r="B18" s="40" t="s">
        <v>36</v>
      </c>
      <c r="C18" s="41" t="s">
        <v>69</v>
      </c>
      <c r="D18" s="42" t="s">
        <v>71</v>
      </c>
      <c r="E18" s="43">
        <v>345707.0</v>
      </c>
      <c r="F18" s="44" t="s">
        <v>70</v>
      </c>
      <c r="G18" s="45">
        <v>3.0</v>
      </c>
      <c r="H18" s="54">
        <v>6.8842168597849</v>
      </c>
      <c r="I18" s="47" t="s">
        <v>39</v>
      </c>
      <c r="J18" s="39" t="str">
        <f t="shared" si="2"/>
        <v>072273DC - CARLA</v>
      </c>
      <c r="K18" s="47">
        <f t="shared" si="3"/>
        <v>12.8115</v>
      </c>
      <c r="L18" s="48">
        <v>7.02</v>
      </c>
      <c r="M18" s="49">
        <f t="shared" si="4"/>
        <v>12.8115</v>
      </c>
      <c r="N18" s="39" t="s">
        <v>40</v>
      </c>
      <c r="O18" s="39" t="s">
        <v>41</v>
      </c>
      <c r="P18" s="39" t="s">
        <v>42</v>
      </c>
      <c r="Q18" s="47" t="str">
        <f t="shared" si="5"/>
        <v>20*30</v>
      </c>
      <c r="R18" s="50">
        <v>1.0</v>
      </c>
      <c r="S18" s="51">
        <v>1.0</v>
      </c>
      <c r="T18" s="51">
        <v>1.0</v>
      </c>
      <c r="U18" s="51">
        <v>1.0</v>
      </c>
      <c r="V18" s="47" t="s">
        <v>43</v>
      </c>
      <c r="W18" s="47" t="str">
        <f t="shared" si="6"/>
        <v>BLANC - 20*30 - REHAUSSE 13mm - (Largeur 15mm Profondeur 30mm)</v>
      </c>
      <c r="X18" s="50">
        <v>0.0</v>
      </c>
      <c r="Y18" s="52" t="s">
        <v>44</v>
      </c>
      <c r="Z18" s="47" t="str">
        <f t="shared" si="7"/>
        <v>CARLA BLANC + REHAUSSE 13 20*30 VERRE</v>
      </c>
      <c r="AA18" s="39" t="s">
        <v>45</v>
      </c>
      <c r="AB18" s="39" t="s">
        <v>49</v>
      </c>
      <c r="AC18" s="47" t="str">
        <f t="shared" si="8"/>
        <v>CARLA BLANC + REHAUSSE 13 20*30 VERRE</v>
      </c>
      <c r="AD18" s="39" t="s">
        <v>47</v>
      </c>
      <c r="AE18" s="39" t="str">
        <f t="shared" si="9"/>
        <v>EVA  20*30 BLANC VERRE REHAUSSE 13mm - CADRES GALERIE - Pas de passepartout - DOS AVEC CHEVALET (Largeur 15mm Profondeur 30mm)</v>
      </c>
      <c r="AF18" s="39" t="str">
        <f t="shared" si="1"/>
        <v>EVA  20*30 BLANC VERRE REHAUSSE 13mm - CADRES GALERIE - Pas de passepartout - DOS AVEC CHEVALET (Largeur 15mm Profondeur 30mm)</v>
      </c>
      <c r="AG18" s="53">
        <f t="shared" si="10"/>
        <v>12.39159035</v>
      </c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43.0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0.0</v>
      </c>
      <c r="H19" s="54">
        <v>9.415588812989917</v>
      </c>
      <c r="I19" s="47" t="s">
        <v>39</v>
      </c>
      <c r="J19" s="39" t="str">
        <f t="shared" si="2"/>
        <v>072274 - CARLA</v>
      </c>
      <c r="K19" s="47">
        <f t="shared" si="3"/>
        <v>17.50175</v>
      </c>
      <c r="L19" s="48">
        <v>9.59</v>
      </c>
      <c r="M19" s="49">
        <f t="shared" si="4"/>
        <v>17.50175</v>
      </c>
      <c r="N19" s="39" t="s">
        <v>40</v>
      </c>
      <c r="O19" s="39" t="s">
        <v>41</v>
      </c>
      <c r="P19" s="39" t="s">
        <v>42</v>
      </c>
      <c r="Q19" s="47" t="str">
        <f t="shared" si="5"/>
        <v>20*50</v>
      </c>
      <c r="R19" s="50">
        <v>1.0</v>
      </c>
      <c r="S19" s="51">
        <v>1.0</v>
      </c>
      <c r="T19" s="51">
        <v>0.0</v>
      </c>
      <c r="U19" s="51">
        <v>0.0</v>
      </c>
      <c r="V19" s="47" t="s">
        <v>43</v>
      </c>
      <c r="W19" s="47" t="str">
        <f t="shared" si="6"/>
        <v>BLANC - 20*50 - REHAUSSE 13mm - (Largeur 15mm Profondeur 30mm)</v>
      </c>
      <c r="X19" s="50">
        <v>0.0</v>
      </c>
      <c r="Y19" s="52" t="s">
        <v>44</v>
      </c>
      <c r="Z19" s="47" t="str">
        <f t="shared" si="7"/>
        <v>CARLA BLANC + REHAUSSE 13 20*50 VERRE</v>
      </c>
      <c r="AA19" s="39" t="s">
        <v>45</v>
      </c>
      <c r="AB19" s="39" t="s">
        <v>46</v>
      </c>
      <c r="AC19" s="47" t="str">
        <f t="shared" si="8"/>
        <v>CARLA BLANC + REHAUSSE 13 20*50 VERRE</v>
      </c>
      <c r="AD19" s="39" t="s">
        <v>47</v>
      </c>
      <c r="AE19" s="39" t="str">
        <f t="shared" si="9"/>
        <v>EVA  20*50 BLANC VERRE REHAUSSE 13mm - CADRES GALERIE - Pas de passepartout - Dos classique sans chevalet (Largeur 15mm Profondeur 30mm)</v>
      </c>
      <c r="AF19" s="39" t="str">
        <f t="shared" si="1"/>
        <v>EVA  20*50 BLANC VERRE REHAUSSE 13mm - CADRES GALERIE - Pas de passepartout - Dos classique sans chevalet (Largeur 15mm Profondeur 30mm)</v>
      </c>
      <c r="AG19" s="53">
        <f t="shared" si="10"/>
        <v>16.94805986</v>
      </c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44.0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7.0</v>
      </c>
      <c r="H20" s="54">
        <v>10.681274789592425</v>
      </c>
      <c r="I20" s="47" t="s">
        <v>39</v>
      </c>
      <c r="J20" s="39" t="str">
        <f t="shared" si="2"/>
        <v>072275 - CARLA</v>
      </c>
      <c r="K20" s="47">
        <f t="shared" si="3"/>
        <v>19.856</v>
      </c>
      <c r="L20" s="48">
        <v>10.88</v>
      </c>
      <c r="M20" s="49">
        <f t="shared" si="4"/>
        <v>19.856</v>
      </c>
      <c r="N20" s="39" t="s">
        <v>40</v>
      </c>
      <c r="O20" s="39" t="s">
        <v>41</v>
      </c>
      <c r="P20" s="39" t="s">
        <v>42</v>
      </c>
      <c r="Q20" s="47" t="str">
        <f t="shared" si="5"/>
        <v>20*60</v>
      </c>
      <c r="R20" s="50">
        <v>1.0</v>
      </c>
      <c r="S20" s="51">
        <v>1.0</v>
      </c>
      <c r="T20" s="51">
        <v>0.0</v>
      </c>
      <c r="U20" s="51">
        <v>0.0</v>
      </c>
      <c r="V20" s="47" t="s">
        <v>43</v>
      </c>
      <c r="W20" s="47" t="str">
        <f t="shared" si="6"/>
        <v>BLANC - 20*60 - REHAUSSE 13mm - (Largeur 15mm Profondeur 30mm)</v>
      </c>
      <c r="X20" s="50">
        <v>0.0</v>
      </c>
      <c r="Y20" s="52" t="s">
        <v>44</v>
      </c>
      <c r="Z20" s="47" t="str">
        <f t="shared" si="7"/>
        <v>CARLA BLANC + REHAUSSE 13 20*60 VERRE</v>
      </c>
      <c r="AA20" s="39" t="s">
        <v>45</v>
      </c>
      <c r="AB20" s="39" t="s">
        <v>46</v>
      </c>
      <c r="AC20" s="47" t="str">
        <f t="shared" si="8"/>
        <v>CARLA BLANC + REHAUSSE 13 20*60 VERRE</v>
      </c>
      <c r="AD20" s="39" t="s">
        <v>47</v>
      </c>
      <c r="AE20" s="39" t="str">
        <f t="shared" si="9"/>
        <v>EVA  20*60 BLANC VERRE REHAUSSE 13mm - CADRES GALERIE - Pas de passepartout - Dos classique sans chevalet (Largeur 15mm Profondeur 30mm)</v>
      </c>
      <c r="AF20" s="39" t="str">
        <f t="shared" si="1"/>
        <v>EVA  20*60 BLANC VERRE REHAUSSE 13mm - CADRES GALERIE - Pas de passepartout - Dos classique sans chevalet (Largeur 15mm Profondeur 30mm)</v>
      </c>
      <c r="AG20" s="53">
        <f t="shared" si="10"/>
        <v>19.22629462</v>
      </c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45.0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4.0</v>
      </c>
      <c r="H21" s="54">
        <v>6.985537317497378</v>
      </c>
      <c r="I21" s="47" t="s">
        <v>39</v>
      </c>
      <c r="J21" s="39" t="str">
        <f t="shared" si="2"/>
        <v>072276 - CARLA</v>
      </c>
      <c r="K21" s="47">
        <f t="shared" si="3"/>
        <v>12.994</v>
      </c>
      <c r="L21" s="48">
        <v>7.12</v>
      </c>
      <c r="M21" s="49">
        <f t="shared" si="4"/>
        <v>12.994</v>
      </c>
      <c r="N21" s="39" t="s">
        <v>40</v>
      </c>
      <c r="O21" s="39" t="s">
        <v>41</v>
      </c>
      <c r="P21" s="39" t="s">
        <v>42</v>
      </c>
      <c r="Q21" s="47" t="str">
        <f t="shared" si="5"/>
        <v>21*29,7</v>
      </c>
      <c r="R21" s="50">
        <v>1.0</v>
      </c>
      <c r="S21" s="51">
        <v>1.0</v>
      </c>
      <c r="T21" s="51">
        <v>0.0</v>
      </c>
      <c r="U21" s="51">
        <v>0.0</v>
      </c>
      <c r="V21" s="47" t="s">
        <v>43</v>
      </c>
      <c r="W21" s="47" t="str">
        <f t="shared" si="6"/>
        <v>BLANC - 21*29,7 - REHAUSSE 13mm - (Largeur 15mm Profondeur 30mm)</v>
      </c>
      <c r="X21" s="50">
        <v>0.0</v>
      </c>
      <c r="Y21" s="52" t="s">
        <v>44</v>
      </c>
      <c r="Z21" s="47" t="str">
        <f t="shared" si="7"/>
        <v>CARLA BLANC + REHAUSSE 13 21*29,7 VERRE</v>
      </c>
      <c r="AA21" s="39" t="s">
        <v>45</v>
      </c>
      <c r="AB21" s="39" t="s">
        <v>46</v>
      </c>
      <c r="AC21" s="47" t="str">
        <f t="shared" si="8"/>
        <v>CARLA BLANC + REHAUSSE 13 21*29,7 VERRE</v>
      </c>
      <c r="AD21" s="39" t="s">
        <v>47</v>
      </c>
      <c r="AE21" s="39" t="str">
        <f t="shared" si="9"/>
        <v>EVA  21*29,7 BLANC VERRE REHAUSSE 13mm - CADRES GALERIE - Pas de passepartout - Dos classique sans chevalet (Largeur 15mm Profondeur 30mm)</v>
      </c>
      <c r="AF21" s="39" t="str">
        <f t="shared" si="1"/>
        <v>EVA  21*29,7 BLANC VERRE REHAUSSE 13mm - CADRES GALERIE - Pas de passepartout - Dos classique sans chevalet (Largeur 15mm Profondeur 30mm)</v>
      </c>
      <c r="AG21" s="53">
        <f t="shared" si="10"/>
        <v>12.57396717</v>
      </c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46.0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1.0</v>
      </c>
      <c r="H22" s="54">
        <v>9.91333785767453</v>
      </c>
      <c r="I22" s="47" t="s">
        <v>39</v>
      </c>
      <c r="J22" s="39" t="str">
        <f t="shared" si="2"/>
        <v>072277 - CARLA</v>
      </c>
      <c r="K22" s="47">
        <f t="shared" si="3"/>
        <v>18.4325</v>
      </c>
      <c r="L22" s="48">
        <v>10.1</v>
      </c>
      <c r="M22" s="49">
        <f t="shared" si="4"/>
        <v>18.4325</v>
      </c>
      <c r="N22" s="39" t="s">
        <v>40</v>
      </c>
      <c r="O22" s="39" t="s">
        <v>41</v>
      </c>
      <c r="P22" s="39" t="s">
        <v>42</v>
      </c>
      <c r="Q22" s="47" t="str">
        <f t="shared" si="5"/>
        <v>23*50</v>
      </c>
      <c r="R22" s="50">
        <v>1.0</v>
      </c>
      <c r="S22" s="51">
        <v>1.0</v>
      </c>
      <c r="T22" s="51">
        <v>0.0</v>
      </c>
      <c r="U22" s="51">
        <v>0.0</v>
      </c>
      <c r="V22" s="47" t="s">
        <v>43</v>
      </c>
      <c r="W22" s="47" t="str">
        <f t="shared" si="6"/>
        <v>BLANC - 23*50 - REHAUSSE 13mm - (Largeur 15mm Profondeur 30mm)</v>
      </c>
      <c r="X22" s="50">
        <v>0.0</v>
      </c>
      <c r="Y22" s="52" t="s">
        <v>44</v>
      </c>
      <c r="Z22" s="47" t="str">
        <f t="shared" si="7"/>
        <v>CARLA BLANC + REHAUSSE 13 23*50 VERRE</v>
      </c>
      <c r="AA22" s="39" t="s">
        <v>45</v>
      </c>
      <c r="AB22" s="39" t="s">
        <v>46</v>
      </c>
      <c r="AC22" s="47" t="str">
        <f t="shared" si="8"/>
        <v>CARLA BLANC + REHAUSSE 13 23*50 VERRE</v>
      </c>
      <c r="AD22" s="39" t="s">
        <v>47</v>
      </c>
      <c r="AE22" s="39" t="str">
        <f t="shared" si="9"/>
        <v>EVA  23*50 BLANC VERRE REHAUSSE 13mm - CADRES GALERIE - Pas de passepartout - Dos classique sans chevalet (Largeur 15mm Profondeur 30mm)</v>
      </c>
      <c r="AF22" s="39" t="str">
        <f t="shared" si="1"/>
        <v>EVA  23*50 BLANC VERRE REHAUSSE 13mm - CADRES GALERIE - Pas de passepartout - Dos classique sans chevalet (Largeur 15mm Profondeur 30mm)</v>
      </c>
      <c r="AG22" s="53">
        <f t="shared" si="10"/>
        <v>17.84400814</v>
      </c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47.0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8.0</v>
      </c>
      <c r="H23" s="54">
        <v>7.44295491784984</v>
      </c>
      <c r="I23" s="47" t="s">
        <v>39</v>
      </c>
      <c r="J23" s="39" t="str">
        <f t="shared" si="2"/>
        <v>072278 - CARLA</v>
      </c>
      <c r="K23" s="47">
        <f t="shared" si="3"/>
        <v>13.8335</v>
      </c>
      <c r="L23" s="48">
        <v>7.58</v>
      </c>
      <c r="M23" s="49">
        <f t="shared" si="4"/>
        <v>13.8335</v>
      </c>
      <c r="N23" s="39" t="s">
        <v>40</v>
      </c>
      <c r="O23" s="39" t="s">
        <v>41</v>
      </c>
      <c r="P23" s="39" t="s">
        <v>42</v>
      </c>
      <c r="Q23" s="47" t="str">
        <f t="shared" si="5"/>
        <v>24*30</v>
      </c>
      <c r="R23" s="50">
        <v>1.0</v>
      </c>
      <c r="S23" s="51">
        <v>1.0</v>
      </c>
      <c r="T23" s="51">
        <v>0.0</v>
      </c>
      <c r="U23" s="51">
        <v>0.0</v>
      </c>
      <c r="V23" s="47" t="s">
        <v>43</v>
      </c>
      <c r="W23" s="47" t="str">
        <f t="shared" si="6"/>
        <v>BLANC - 24*30 - REHAUSSE 13mm - (Largeur 15mm Profondeur 30mm)</v>
      </c>
      <c r="X23" s="50">
        <v>0.0</v>
      </c>
      <c r="Y23" s="52" t="s">
        <v>44</v>
      </c>
      <c r="Z23" s="47" t="str">
        <f t="shared" si="7"/>
        <v>CARLA BLANC + REHAUSSE 13 24*30 VERRE</v>
      </c>
      <c r="AA23" s="39" t="s">
        <v>45</v>
      </c>
      <c r="AB23" s="39" t="s">
        <v>46</v>
      </c>
      <c r="AC23" s="47" t="str">
        <f t="shared" si="8"/>
        <v>CARLA BLANC + REHAUSSE 13 24*30 VERRE</v>
      </c>
      <c r="AD23" s="39" t="s">
        <v>47</v>
      </c>
      <c r="AE23" s="39" t="str">
        <f t="shared" si="9"/>
        <v>EVA  24*30 BLANC VERRE REHAUSSE 13mm - CADRES GALERIE - Pas de passepartout - Dos classique sans chevalet (Largeur 15mm Profondeur 30mm)</v>
      </c>
      <c r="AF23" s="39" t="str">
        <f t="shared" si="1"/>
        <v>EVA  24*30 BLANC VERRE REHAUSSE 13mm - CADRES GALERIE - Pas de passepartout - Dos classique sans chevalet (Largeur 15mm Profondeur 30mm)</v>
      </c>
      <c r="AG23" s="53">
        <f t="shared" si="10"/>
        <v>13.39731885</v>
      </c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48.0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5.0</v>
      </c>
      <c r="H24" s="54">
        <v>10.245170554130942</v>
      </c>
      <c r="I24" s="47" t="s">
        <v>39</v>
      </c>
      <c r="J24" s="39" t="str">
        <f t="shared" si="2"/>
        <v>072279 - CARLA</v>
      </c>
      <c r="K24" s="47">
        <f t="shared" si="3"/>
        <v>19.053</v>
      </c>
      <c r="L24" s="48">
        <v>10.44</v>
      </c>
      <c r="M24" s="49">
        <f t="shared" si="4"/>
        <v>19.053</v>
      </c>
      <c r="N24" s="39" t="s">
        <v>40</v>
      </c>
      <c r="O24" s="39" t="s">
        <v>41</v>
      </c>
      <c r="P24" s="39" t="s">
        <v>42</v>
      </c>
      <c r="Q24" s="47" t="str">
        <f t="shared" si="5"/>
        <v>25*50</v>
      </c>
      <c r="R24" s="50">
        <v>1.0</v>
      </c>
      <c r="S24" s="51">
        <v>1.0</v>
      </c>
      <c r="T24" s="51">
        <v>0.0</v>
      </c>
      <c r="U24" s="51">
        <v>0.0</v>
      </c>
      <c r="V24" s="47" t="s">
        <v>43</v>
      </c>
      <c r="W24" s="47" t="str">
        <f t="shared" si="6"/>
        <v>BLANC - 25*50 - REHAUSSE 13mm - (Largeur 15mm Profondeur 30mm)</v>
      </c>
      <c r="X24" s="50">
        <v>0.0</v>
      </c>
      <c r="Y24" s="52" t="s">
        <v>44</v>
      </c>
      <c r="Z24" s="47" t="str">
        <f t="shared" si="7"/>
        <v>CARLA BLANC + REHAUSSE 13 25*50 VERRE</v>
      </c>
      <c r="AA24" s="39" t="s">
        <v>45</v>
      </c>
      <c r="AB24" s="39" t="s">
        <v>46</v>
      </c>
      <c r="AC24" s="47" t="str">
        <f t="shared" si="8"/>
        <v>CARLA BLANC + REHAUSSE 13 25*50 VERRE</v>
      </c>
      <c r="AD24" s="39" t="s">
        <v>47</v>
      </c>
      <c r="AE24" s="39" t="str">
        <f t="shared" si="9"/>
        <v>EVA  25*50 BLANC VERRE REHAUSSE 13mm - CADRES GALERIE - Pas de passepartout - Dos classique sans chevalet (Largeur 15mm Profondeur 30mm)</v>
      </c>
      <c r="AF24" s="39" t="str">
        <f t="shared" si="1"/>
        <v>EVA  25*50 BLANC VERRE REHAUSSE 13mm - CADRES GALERIE - Pas de passepartout - Dos classique sans chevalet (Largeur 15mm Profondeur 30mm)</v>
      </c>
      <c r="AG24" s="53">
        <f t="shared" si="10"/>
        <v>18.441307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49.0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1.0</v>
      </c>
      <c r="H25" s="54">
        <v>9.910649094719055</v>
      </c>
      <c r="I25" s="47" t="s">
        <v>39</v>
      </c>
      <c r="J25" s="39" t="str">
        <f t="shared" si="2"/>
        <v>072280 - CARLA</v>
      </c>
      <c r="K25" s="47">
        <f t="shared" si="3"/>
        <v>18.4325</v>
      </c>
      <c r="L25" s="48">
        <v>10.1</v>
      </c>
      <c r="M25" s="49">
        <f t="shared" si="4"/>
        <v>18.4325</v>
      </c>
      <c r="N25" s="39" t="s">
        <v>40</v>
      </c>
      <c r="O25" s="39" t="s">
        <v>41</v>
      </c>
      <c r="P25" s="39" t="s">
        <v>42</v>
      </c>
      <c r="Q25" s="47" t="str">
        <f t="shared" si="5"/>
        <v>29,7*42</v>
      </c>
      <c r="R25" s="50">
        <v>1.0</v>
      </c>
      <c r="S25" s="51">
        <v>1.0</v>
      </c>
      <c r="T25" s="51">
        <v>0.0</v>
      </c>
      <c r="U25" s="51">
        <v>0.0</v>
      </c>
      <c r="V25" s="47" t="s">
        <v>43</v>
      </c>
      <c r="W25" s="47" t="str">
        <f t="shared" si="6"/>
        <v>BLANC - 29,7*42 - REHAUSSE 13mm - (Largeur 15mm Profondeur 30mm)</v>
      </c>
      <c r="X25" s="50">
        <v>0.0</v>
      </c>
      <c r="Y25" s="52" t="s">
        <v>44</v>
      </c>
      <c r="Z25" s="47" t="str">
        <f t="shared" si="7"/>
        <v>CARLA BLANC + REHAUSSE 13 29,7*42 VERRE</v>
      </c>
      <c r="AA25" s="39" t="s">
        <v>45</v>
      </c>
      <c r="AB25" s="39" t="s">
        <v>46</v>
      </c>
      <c r="AC25" s="47" t="str">
        <f t="shared" si="8"/>
        <v>CARLA BLANC + REHAUSSE 13 29,7*42 VERRE</v>
      </c>
      <c r="AD25" s="39" t="s">
        <v>47</v>
      </c>
      <c r="AE25" s="39" t="str">
        <f t="shared" si="9"/>
        <v>EVA  29,7*42 BLANC VERRE REHAUSSE 13mm - CADRES GALERIE - Pas de passepartout - Dos classique sans chevalet (Largeur 15mm Profondeur 30mm)</v>
      </c>
      <c r="AF25" s="39" t="str">
        <f t="shared" si="1"/>
        <v>EVA  29,7*42 BLANC VERRE REHAUSSE 13mm - CADRES GALERIE - Pas de passepartout - Dos classique sans chevalet (Largeur 15mm Profondeur 30mm)</v>
      </c>
      <c r="AG25" s="53">
        <f t="shared" si="10"/>
        <v>17.83916837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50.0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8.0</v>
      </c>
      <c r="H26" s="54">
        <v>8.281062004947254</v>
      </c>
      <c r="I26" s="47" t="s">
        <v>39</v>
      </c>
      <c r="J26" s="39" t="str">
        <f t="shared" si="2"/>
        <v>072281 - CARLA</v>
      </c>
      <c r="K26" s="47">
        <f t="shared" si="3"/>
        <v>15.403</v>
      </c>
      <c r="L26" s="48">
        <v>8.44</v>
      </c>
      <c r="M26" s="49">
        <f t="shared" si="4"/>
        <v>15.403</v>
      </c>
      <c r="N26" s="39" t="s">
        <v>40</v>
      </c>
      <c r="O26" s="39" t="s">
        <v>41</v>
      </c>
      <c r="P26" s="39" t="s">
        <v>42</v>
      </c>
      <c r="Q26" s="47" t="str">
        <f t="shared" si="5"/>
        <v>30*30</v>
      </c>
      <c r="R26" s="50">
        <v>1.0</v>
      </c>
      <c r="S26" s="51">
        <v>1.0</v>
      </c>
      <c r="T26" s="51">
        <v>0.0</v>
      </c>
      <c r="U26" s="51">
        <v>0.0</v>
      </c>
      <c r="V26" s="47" t="s">
        <v>43</v>
      </c>
      <c r="W26" s="47" t="str">
        <f t="shared" si="6"/>
        <v>BLANC - 30*30 - REHAUSSE 13mm - (Largeur 15mm Profondeur 30mm)</v>
      </c>
      <c r="X26" s="50">
        <v>0.0</v>
      </c>
      <c r="Y26" s="52" t="s">
        <v>44</v>
      </c>
      <c r="Z26" s="47" t="str">
        <f t="shared" si="7"/>
        <v>CARLA BLANC + REHAUSSE 13 30*30 VERRE</v>
      </c>
      <c r="AA26" s="39" t="s">
        <v>45</v>
      </c>
      <c r="AB26" s="39" t="s">
        <v>46</v>
      </c>
      <c r="AC26" s="47" t="str">
        <f t="shared" si="8"/>
        <v>CARLA BLANC + REHAUSSE 13 30*30 VERRE</v>
      </c>
      <c r="AD26" s="39" t="s">
        <v>47</v>
      </c>
      <c r="AE26" s="39" t="str">
        <f t="shared" si="9"/>
        <v>EVA  30*30 BLANC VERRE REHAUSSE 13mm - CADRES GALERIE - Pas de passepartout - Dos classique sans chevalet (Largeur 15mm Profondeur 30mm)</v>
      </c>
      <c r="AF26" s="39" t="str">
        <f t="shared" si="1"/>
        <v>EVA  30*30 BLANC VERRE REHAUSSE 13mm - CADRES GALERIE - Pas de passepartout - Dos classique sans chevalet (Largeur 15mm Profondeur 30mm)</v>
      </c>
      <c r="AG26" s="53">
        <f t="shared" si="10"/>
        <v>14.90591161</v>
      </c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51.0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5.0</v>
      </c>
      <c r="H27" s="54">
        <v>9.67790715010961</v>
      </c>
      <c r="I27" s="47" t="s">
        <v>39</v>
      </c>
      <c r="J27" s="39" t="str">
        <f t="shared" si="2"/>
        <v>072282 - CARLA</v>
      </c>
      <c r="K27" s="47">
        <f t="shared" si="3"/>
        <v>17.9945</v>
      </c>
      <c r="L27" s="48">
        <v>9.86</v>
      </c>
      <c r="M27" s="49">
        <f t="shared" si="4"/>
        <v>17.9945</v>
      </c>
      <c r="N27" s="39" t="s">
        <v>40</v>
      </c>
      <c r="O27" s="39" t="s">
        <v>41</v>
      </c>
      <c r="P27" s="39" t="s">
        <v>42</v>
      </c>
      <c r="Q27" s="47" t="str">
        <f t="shared" si="5"/>
        <v>30*40</v>
      </c>
      <c r="R27" s="50">
        <v>1.0</v>
      </c>
      <c r="S27" s="51">
        <v>1.0</v>
      </c>
      <c r="T27" s="51">
        <v>0.0</v>
      </c>
      <c r="U27" s="51">
        <v>0.0</v>
      </c>
      <c r="V27" s="47" t="s">
        <v>43</v>
      </c>
      <c r="W27" s="47" t="str">
        <f t="shared" si="6"/>
        <v>BLANC - 30*40 - REHAUSSE 13mm - (Largeur 15mm Profondeur 30mm)</v>
      </c>
      <c r="X27" s="50">
        <v>0.0</v>
      </c>
      <c r="Y27" s="52" t="s">
        <v>44</v>
      </c>
      <c r="Z27" s="47" t="str">
        <f t="shared" si="7"/>
        <v>CARLA BLANC + REHAUSSE 13 30*40 VERRE</v>
      </c>
      <c r="AA27" s="39" t="s">
        <v>45</v>
      </c>
      <c r="AB27" s="39" t="s">
        <v>46</v>
      </c>
      <c r="AC27" s="47" t="str">
        <f t="shared" si="8"/>
        <v>CARLA BLANC + REHAUSSE 13 30*40 VERRE</v>
      </c>
      <c r="AD27" s="39" t="s">
        <v>47</v>
      </c>
      <c r="AE27" s="39" t="str">
        <f t="shared" si="9"/>
        <v>EVA  30*40 BLANC VERRE REHAUSSE 13mm - CADRES GALERIE - Pas de passepartout - Dos classique sans chevalet (Largeur 15mm Profondeur 30mm)</v>
      </c>
      <c r="AF27" s="39" t="str">
        <f t="shared" si="1"/>
        <v>EVA  30*40 BLANC VERRE REHAUSSE 13mm - CADRES GALERIE - Pas de passepartout - Dos classique sans chevalet (Largeur 15mm Profondeur 30mm)</v>
      </c>
      <c r="AG27" s="53">
        <f t="shared" si="10"/>
        <v>17.42023287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52.0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2.0</v>
      </c>
      <c r="H28" s="54">
        <v>10.376329722690784</v>
      </c>
      <c r="I28" s="47" t="s">
        <v>39</v>
      </c>
      <c r="J28" s="39" t="str">
        <f t="shared" si="2"/>
        <v>072283 - CARLA</v>
      </c>
      <c r="K28" s="47">
        <f t="shared" si="3"/>
        <v>19.29025</v>
      </c>
      <c r="L28" s="48">
        <v>10.57</v>
      </c>
      <c r="M28" s="49">
        <f t="shared" si="4"/>
        <v>19.29025</v>
      </c>
      <c r="N28" s="39" t="s">
        <v>40</v>
      </c>
      <c r="O28" s="39" t="s">
        <v>41</v>
      </c>
      <c r="P28" s="39" t="s">
        <v>42</v>
      </c>
      <c r="Q28" s="47" t="str">
        <f t="shared" si="5"/>
        <v>30*45</v>
      </c>
      <c r="R28" s="50">
        <v>1.0</v>
      </c>
      <c r="S28" s="51">
        <v>1.0</v>
      </c>
      <c r="T28" s="51">
        <v>0.0</v>
      </c>
      <c r="U28" s="51">
        <v>0.0</v>
      </c>
      <c r="V28" s="47" t="s">
        <v>43</v>
      </c>
      <c r="W28" s="47" t="str">
        <f t="shared" si="6"/>
        <v>BLANC - 30*45 - REHAUSSE 13mm - (Largeur 15mm Profondeur 30mm)</v>
      </c>
      <c r="X28" s="50">
        <v>0.0</v>
      </c>
      <c r="Y28" s="52" t="s">
        <v>44</v>
      </c>
      <c r="Z28" s="47" t="str">
        <f t="shared" si="7"/>
        <v>CARLA BLANC + REHAUSSE 13 30*45 VERRE</v>
      </c>
      <c r="AA28" s="39" t="s">
        <v>45</v>
      </c>
      <c r="AB28" s="39" t="s">
        <v>46</v>
      </c>
      <c r="AC28" s="47" t="str">
        <f t="shared" si="8"/>
        <v>CARLA BLANC + REHAUSSE 13 30*45 VERRE</v>
      </c>
      <c r="AD28" s="39" t="s">
        <v>47</v>
      </c>
      <c r="AE28" s="39" t="str">
        <f t="shared" si="9"/>
        <v>EVA  30*45 BLANC VERRE REHAUSSE 13mm - CADRES GALERIE - Pas de passepartout - Dos classique sans chevalet (Largeur 15mm Profondeur 30mm)</v>
      </c>
      <c r="AF28" s="39" t="str">
        <f t="shared" si="1"/>
        <v>EVA  30*45 BLANC VERRE REHAUSSE 13mm - CADRES GALERIE - Pas de passepartout - Dos classique sans chevalet (Largeur 15mm Profondeur 30mm)</v>
      </c>
      <c r="AG28" s="53">
        <f t="shared" si="10"/>
        <v>18.6773935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53.0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9.0</v>
      </c>
      <c r="H29" s="54">
        <v>18.03536937074297</v>
      </c>
      <c r="I29" s="47" t="s">
        <v>39</v>
      </c>
      <c r="J29" s="39" t="str">
        <f t="shared" si="2"/>
        <v>072284 - CARLA</v>
      </c>
      <c r="K29" s="47">
        <f t="shared" si="3"/>
        <v>33.5435</v>
      </c>
      <c r="L29" s="48">
        <v>18.38</v>
      </c>
      <c r="M29" s="49">
        <f t="shared" si="4"/>
        <v>33.5435</v>
      </c>
      <c r="N29" s="39" t="s">
        <v>40</v>
      </c>
      <c r="O29" s="39" t="s">
        <v>41</v>
      </c>
      <c r="P29" s="39" t="s">
        <v>42</v>
      </c>
      <c r="Q29" s="47" t="str">
        <f t="shared" si="5"/>
        <v>33*95</v>
      </c>
      <c r="R29" s="50">
        <v>1.0</v>
      </c>
      <c r="S29" s="51">
        <v>1.0</v>
      </c>
      <c r="T29" s="51">
        <v>0.0</v>
      </c>
      <c r="U29" s="51">
        <v>0.0</v>
      </c>
      <c r="V29" s="47" t="s">
        <v>43</v>
      </c>
      <c r="W29" s="47" t="str">
        <f t="shared" si="6"/>
        <v>BLANC - 33*95 - REHAUSSE 13mm - (Largeur 15mm Profondeur 30mm)</v>
      </c>
      <c r="X29" s="50">
        <v>0.0</v>
      </c>
      <c r="Y29" s="52" t="s">
        <v>44</v>
      </c>
      <c r="Z29" s="47" t="str">
        <f t="shared" si="7"/>
        <v>CARLA BLANC + REHAUSSE 13 33*95 VERRE</v>
      </c>
      <c r="AA29" s="39" t="s">
        <v>45</v>
      </c>
      <c r="AB29" s="39" t="s">
        <v>46</v>
      </c>
      <c r="AC29" s="47" t="str">
        <f t="shared" si="8"/>
        <v>CARLA BLANC + REHAUSSE 13 33*95 VERRE</v>
      </c>
      <c r="AD29" s="39" t="s">
        <v>47</v>
      </c>
      <c r="AE29" s="39" t="str">
        <f t="shared" si="9"/>
        <v>EVA  33*95 BLANC VERRE REHAUSSE 13mm - CADRES GALERIE - Pas de passepartout - Dos classique sans chevalet (Largeur 15mm Profondeur 30mm)</v>
      </c>
      <c r="AF29" s="39" t="str">
        <f t="shared" si="1"/>
        <v>EVA  33*95 BLANC VERRE REHAUSSE 13mm - CADRES GALERIE - Pas de passepartout - Dos classique sans chevalet (Largeur 15mm Profondeur 30mm)</v>
      </c>
      <c r="AG29" s="53">
        <f t="shared" si="10"/>
        <v>32.46366487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54.0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6.0</v>
      </c>
      <c r="H30" s="54">
        <v>11.20591146383181</v>
      </c>
      <c r="I30" s="47" t="s">
        <v>39</v>
      </c>
      <c r="J30" s="39" t="str">
        <f t="shared" si="2"/>
        <v>072285 - CARLA</v>
      </c>
      <c r="K30" s="47">
        <f t="shared" si="3"/>
        <v>20.8415</v>
      </c>
      <c r="L30" s="48">
        <v>11.42</v>
      </c>
      <c r="M30" s="49">
        <f t="shared" si="4"/>
        <v>20.8415</v>
      </c>
      <c r="N30" s="39" t="s">
        <v>40</v>
      </c>
      <c r="O30" s="39" t="s">
        <v>41</v>
      </c>
      <c r="P30" s="39" t="s">
        <v>42</v>
      </c>
      <c r="Q30" s="47" t="str">
        <f t="shared" si="5"/>
        <v>40*40</v>
      </c>
      <c r="R30" s="50">
        <v>1.0</v>
      </c>
      <c r="S30" s="51">
        <v>1.0</v>
      </c>
      <c r="T30" s="51">
        <v>0.0</v>
      </c>
      <c r="U30" s="51">
        <v>0.0</v>
      </c>
      <c r="V30" s="47" t="s">
        <v>43</v>
      </c>
      <c r="W30" s="47" t="str">
        <f t="shared" si="6"/>
        <v>BLANC - 40*40 - REHAUSSE 13mm - (Largeur 15mm Profondeur 30mm)</v>
      </c>
      <c r="X30" s="50">
        <v>0.0</v>
      </c>
      <c r="Y30" s="52" t="s">
        <v>44</v>
      </c>
      <c r="Z30" s="47" t="str">
        <f t="shared" si="7"/>
        <v>CARLA BLANC + REHAUSSE 13 40*40 VERRE</v>
      </c>
      <c r="AA30" s="39" t="s">
        <v>45</v>
      </c>
      <c r="AB30" s="39" t="s">
        <v>46</v>
      </c>
      <c r="AC30" s="47" t="str">
        <f t="shared" si="8"/>
        <v>CARLA BLANC + REHAUSSE 13 40*40 VERRE</v>
      </c>
      <c r="AD30" s="39" t="s">
        <v>47</v>
      </c>
      <c r="AE30" s="39" t="str">
        <f t="shared" si="9"/>
        <v>EVA  40*40 BLANC VERRE REHAUSSE 13mm - CADRES GALERIE - Pas de passepartout - Dos classique sans chevalet (Largeur 15mm Profondeur 30mm)</v>
      </c>
      <c r="AF30" s="39" t="str">
        <f t="shared" si="1"/>
        <v>EVA  40*40 BLANC VERRE REHAUSSE 13mm - CADRES GALERIE - Pas de passepartout - Dos classique sans chevalet (Largeur 15mm Profondeur 30mm)</v>
      </c>
      <c r="AG30" s="53">
        <f t="shared" si="10"/>
        <v>20.17064063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55.0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3.0</v>
      </c>
      <c r="H31" s="54">
        <v>12.733915777554012</v>
      </c>
      <c r="I31" s="47" t="s">
        <v>39</v>
      </c>
      <c r="J31" s="39" t="str">
        <f t="shared" si="2"/>
        <v>072286 - CARLA</v>
      </c>
      <c r="K31" s="47">
        <f t="shared" si="3"/>
        <v>23.6885</v>
      </c>
      <c r="L31" s="48">
        <v>12.98</v>
      </c>
      <c r="M31" s="49">
        <f t="shared" si="4"/>
        <v>23.6885</v>
      </c>
      <c r="N31" s="39" t="s">
        <v>40</v>
      </c>
      <c r="O31" s="39" t="s">
        <v>41</v>
      </c>
      <c r="P31" s="39" t="s">
        <v>42</v>
      </c>
      <c r="Q31" s="47" t="str">
        <f t="shared" si="5"/>
        <v>40*50</v>
      </c>
      <c r="R31" s="50">
        <v>1.0</v>
      </c>
      <c r="S31" s="51">
        <v>1.0</v>
      </c>
      <c r="T31" s="51">
        <v>0.0</v>
      </c>
      <c r="U31" s="51">
        <v>0.0</v>
      </c>
      <c r="V31" s="47" t="s">
        <v>43</v>
      </c>
      <c r="W31" s="47" t="str">
        <f t="shared" si="6"/>
        <v>BLANC - 40*50 - REHAUSSE 13mm - (Largeur 15mm Profondeur 30mm)</v>
      </c>
      <c r="X31" s="50">
        <v>0.0</v>
      </c>
      <c r="Y31" s="52" t="s">
        <v>44</v>
      </c>
      <c r="Z31" s="47" t="str">
        <f t="shared" si="7"/>
        <v>CARLA BLANC + REHAUSSE 13 40*50 VERRE</v>
      </c>
      <c r="AA31" s="39" t="s">
        <v>45</v>
      </c>
      <c r="AB31" s="39" t="s">
        <v>46</v>
      </c>
      <c r="AC31" s="47" t="str">
        <f t="shared" si="8"/>
        <v>CARLA BLANC + REHAUSSE 13 40*50 VERRE</v>
      </c>
      <c r="AD31" s="39" t="s">
        <v>47</v>
      </c>
      <c r="AE31" s="39" t="str">
        <f t="shared" si="9"/>
        <v>EVA  40*50 BLANC VERRE REHAUSSE 13mm - CADRES GALERIE - Pas de passepartout - Dos classique sans chevalet (Largeur 15mm Profondeur 30mm)</v>
      </c>
      <c r="AF31" s="39" t="str">
        <f t="shared" si="1"/>
        <v>EVA  40*50 BLANC VERRE REHAUSSE 13mm - CADRES GALERIE - Pas de passepartout - Dos classique sans chevalet (Largeur 15mm Profondeur 30mm)</v>
      </c>
      <c r="AG31" s="53">
        <f t="shared" si="10"/>
        <v>22.9210484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56.0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0.0</v>
      </c>
      <c r="H32" s="54">
        <v>14.261920091276211</v>
      </c>
      <c r="I32" s="47" t="s">
        <v>39</v>
      </c>
      <c r="J32" s="39" t="str">
        <f t="shared" si="2"/>
        <v>072287 - CARLA</v>
      </c>
      <c r="K32" s="47">
        <f t="shared" si="3"/>
        <v>26.51725</v>
      </c>
      <c r="L32" s="48">
        <v>14.53</v>
      </c>
      <c r="M32" s="49">
        <f t="shared" si="4"/>
        <v>26.51725</v>
      </c>
      <c r="N32" s="39" t="s">
        <v>40</v>
      </c>
      <c r="O32" s="39" t="s">
        <v>41</v>
      </c>
      <c r="P32" s="39" t="s">
        <v>42</v>
      </c>
      <c r="Q32" s="47" t="str">
        <f t="shared" si="5"/>
        <v>40*60</v>
      </c>
      <c r="R32" s="50">
        <v>1.0</v>
      </c>
      <c r="S32" s="51">
        <v>1.0</v>
      </c>
      <c r="T32" s="51">
        <v>0.0</v>
      </c>
      <c r="U32" s="51">
        <v>0.0</v>
      </c>
      <c r="V32" s="47" t="s">
        <v>43</v>
      </c>
      <c r="W32" s="47" t="str">
        <f t="shared" si="6"/>
        <v>BLANC - 40*60 - REHAUSSE 13mm - (Largeur 15mm Profondeur 30mm)</v>
      </c>
      <c r="X32" s="50">
        <v>0.0</v>
      </c>
      <c r="Y32" s="52" t="s">
        <v>44</v>
      </c>
      <c r="Z32" s="47" t="str">
        <f t="shared" si="7"/>
        <v>CARLA BLANC + REHAUSSE 13 40*60 VERRE</v>
      </c>
      <c r="AA32" s="39" t="s">
        <v>45</v>
      </c>
      <c r="AB32" s="39" t="s">
        <v>46</v>
      </c>
      <c r="AC32" s="47" t="str">
        <f t="shared" si="8"/>
        <v>CARLA BLANC + REHAUSSE 13 40*60 VERRE</v>
      </c>
      <c r="AD32" s="39" t="s">
        <v>47</v>
      </c>
      <c r="AE32" s="39" t="str">
        <f t="shared" si="9"/>
        <v>EVA  40*60 BLANC VERRE REHAUSSE 13mm - CADRES GALERIE - Pas de passepartout - Dos classique sans chevalet (Largeur 15mm Profondeur 30mm)</v>
      </c>
      <c r="AF32" s="39" t="str">
        <f t="shared" si="1"/>
        <v>EVA  40*60 BLANC VERRE REHAUSSE 13mm - CADRES GALERIE - Pas de passepartout - Dos classique sans chevalet (Largeur 15mm Profondeur 30mm)</v>
      </c>
      <c r="AG32" s="53">
        <f t="shared" si="10"/>
        <v>25.67145616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57.0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2.0</v>
      </c>
      <c r="H33" s="54">
        <v>14.670132525562499</v>
      </c>
      <c r="I33" s="47" t="s">
        <v>39</v>
      </c>
      <c r="J33" s="39" t="str">
        <f t="shared" si="2"/>
        <v>068141 - CARLA</v>
      </c>
      <c r="K33" s="47">
        <f t="shared" si="3"/>
        <v>27.28375</v>
      </c>
      <c r="L33" s="48">
        <v>14.95</v>
      </c>
      <c r="M33" s="49">
        <f t="shared" si="4"/>
        <v>27.28375</v>
      </c>
      <c r="N33" s="39" t="s">
        <v>40</v>
      </c>
      <c r="O33" s="39" t="s">
        <v>41</v>
      </c>
      <c r="P33" s="39" t="s">
        <v>42</v>
      </c>
      <c r="Q33" s="47" t="str">
        <f t="shared" si="5"/>
        <v>42*59,4</v>
      </c>
      <c r="R33" s="50">
        <v>1.0</v>
      </c>
      <c r="S33" s="51">
        <v>1.0</v>
      </c>
      <c r="T33" s="51">
        <v>0.0</v>
      </c>
      <c r="U33" s="51">
        <v>0.0</v>
      </c>
      <c r="V33" s="47" t="s">
        <v>43</v>
      </c>
      <c r="W33" s="47" t="str">
        <f t="shared" si="6"/>
        <v>BLANC - 42*59,4 - REHAUSSE 13mm - (Largeur 15mm Profondeur 30mm)</v>
      </c>
      <c r="X33" s="50">
        <v>0.0</v>
      </c>
      <c r="Y33" s="52" t="s">
        <v>44</v>
      </c>
      <c r="Z33" s="47" t="str">
        <f t="shared" si="7"/>
        <v>CARLA BLANC + REHAUSSE 13 42*59,4 VERRE</v>
      </c>
      <c r="AA33" s="39" t="s">
        <v>45</v>
      </c>
      <c r="AB33" s="39" t="s">
        <v>46</v>
      </c>
      <c r="AC33" s="47" t="str">
        <f t="shared" si="8"/>
        <v>CARLA BLANC + REHAUSSE 13 42*59,4 VERRE</v>
      </c>
      <c r="AD33" s="39" t="s">
        <v>47</v>
      </c>
      <c r="AE33" s="39" t="str">
        <f t="shared" si="9"/>
        <v>EVA  42*59,4 BLANC VERRE REHAUSSE 13mm - CADRES GALERIE - Pas de passepartout - Dos classique sans chevalet (Largeur 15mm Profondeur 30mm)</v>
      </c>
      <c r="AF33" s="39" t="str">
        <f t="shared" si="1"/>
        <v>EVA  42*59,4 BLANC VERRE REHAUSSE 13mm - CADRES GALERIE - Pas de passepartout - Dos classique sans chevalet (Largeur 15mm Profondeur 30mm)</v>
      </c>
      <c r="AG33" s="53">
        <f t="shared" si="10"/>
        <v>26.40623855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58.0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7.0</v>
      </c>
      <c r="H34" s="54">
        <v>15.496783663267163</v>
      </c>
      <c r="I34" s="47" t="s">
        <v>39</v>
      </c>
      <c r="J34" s="39" t="str">
        <f t="shared" si="2"/>
        <v>072288 - CARLA</v>
      </c>
      <c r="K34" s="47">
        <f t="shared" si="3"/>
        <v>28.81675</v>
      </c>
      <c r="L34" s="48">
        <v>15.79</v>
      </c>
      <c r="M34" s="49">
        <f t="shared" si="4"/>
        <v>28.81675</v>
      </c>
      <c r="N34" s="39" t="s">
        <v>40</v>
      </c>
      <c r="O34" s="39" t="s">
        <v>41</v>
      </c>
      <c r="P34" s="39" t="s">
        <v>42</v>
      </c>
      <c r="Q34" s="47" t="str">
        <f t="shared" si="5"/>
        <v>46*61</v>
      </c>
      <c r="R34" s="50">
        <v>1.0</v>
      </c>
      <c r="S34" s="51">
        <v>1.0</v>
      </c>
      <c r="T34" s="51">
        <v>0.0</v>
      </c>
      <c r="U34" s="51">
        <v>0.0</v>
      </c>
      <c r="V34" s="47" t="s">
        <v>43</v>
      </c>
      <c r="W34" s="47" t="str">
        <f t="shared" si="6"/>
        <v>BLANC - 46*61 - REHAUSSE 13mm - (Largeur 15mm Profondeur 30mm)</v>
      </c>
      <c r="X34" s="50">
        <v>0.0</v>
      </c>
      <c r="Y34" s="52" t="s">
        <v>44</v>
      </c>
      <c r="Z34" s="47" t="str">
        <f t="shared" si="7"/>
        <v>CARLA BLANC + REHAUSSE 13 46*61 VERRE</v>
      </c>
      <c r="AA34" s="39" t="s">
        <v>45</v>
      </c>
      <c r="AB34" s="39" t="s">
        <v>46</v>
      </c>
      <c r="AC34" s="47" t="str">
        <f t="shared" si="8"/>
        <v>CARLA BLANC + REHAUSSE 13 46*61 VERRE</v>
      </c>
      <c r="AD34" s="39" t="s">
        <v>47</v>
      </c>
      <c r="AE34" s="39" t="str">
        <f t="shared" si="9"/>
        <v>EVA  46*61 BLANC VERRE REHAUSSE 13mm - CADRES GALERIE - Pas de passepartout - Dos classique sans chevalet (Largeur 15mm Profondeur 30mm)</v>
      </c>
      <c r="AF34" s="39" t="str">
        <f t="shared" si="1"/>
        <v>EVA  46*61 BLANC VERRE REHAUSSE 13mm - CADRES GALERIE - Pas de passepartout - Dos classique sans chevalet (Largeur 15mm Profondeur 30mm)</v>
      </c>
      <c r="AG34" s="53">
        <f t="shared" si="10"/>
        <v>27.89421059</v>
      </c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59.0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4.0</v>
      </c>
      <c r="H35" s="54">
        <v>14.39307925983606</v>
      </c>
      <c r="I35" s="47" t="s">
        <v>39</v>
      </c>
      <c r="J35" s="39" t="str">
        <f t="shared" si="2"/>
        <v>072289 - CARLA</v>
      </c>
      <c r="K35" s="47">
        <f t="shared" si="3"/>
        <v>26.77275</v>
      </c>
      <c r="L35" s="48">
        <v>14.67</v>
      </c>
      <c r="M35" s="49">
        <f t="shared" si="4"/>
        <v>26.77275</v>
      </c>
      <c r="N35" s="39" t="s">
        <v>40</v>
      </c>
      <c r="O35" s="39" t="s">
        <v>41</v>
      </c>
      <c r="P35" s="39" t="s">
        <v>42</v>
      </c>
      <c r="Q35" s="47" t="str">
        <f t="shared" si="5"/>
        <v>50*50</v>
      </c>
      <c r="R35" s="50">
        <v>1.0</v>
      </c>
      <c r="S35" s="51">
        <v>1.0</v>
      </c>
      <c r="T35" s="51">
        <v>0.0</v>
      </c>
      <c r="U35" s="51">
        <v>0.0</v>
      </c>
      <c r="V35" s="47" t="s">
        <v>43</v>
      </c>
      <c r="W35" s="47" t="str">
        <f t="shared" si="6"/>
        <v>BLANC - 50*50 - REHAUSSE 13mm - (Largeur 15mm Profondeur 30mm)</v>
      </c>
      <c r="X35" s="50">
        <v>0.0</v>
      </c>
      <c r="Y35" s="52" t="s">
        <v>44</v>
      </c>
      <c r="Z35" s="47" t="str">
        <f t="shared" si="7"/>
        <v>CARLA BLANC + REHAUSSE 13 50*50 VERRE</v>
      </c>
      <c r="AA35" s="39" t="s">
        <v>45</v>
      </c>
      <c r="AB35" s="39" t="s">
        <v>46</v>
      </c>
      <c r="AC35" s="47" t="str">
        <f t="shared" si="8"/>
        <v>CARLA BLANC + REHAUSSE 13 50*50 VERRE</v>
      </c>
      <c r="AD35" s="39" t="s">
        <v>47</v>
      </c>
      <c r="AE35" s="39" t="str">
        <f t="shared" si="9"/>
        <v>EVA  50*50 BLANC VERRE REHAUSSE 13mm - CADRES GALERIE - Pas de passepartout - Dos classique sans chevalet (Largeur 15mm Profondeur 30mm)</v>
      </c>
      <c r="AF35" s="39" t="str">
        <f t="shared" si="1"/>
        <v>EVA  50*50 BLANC VERRE REHAUSSE 13mm - CADRES GALERIE - Pas de passepartout - Dos classique sans chevalet (Largeur 15mm Profondeur 30mm)</v>
      </c>
      <c r="AG35" s="53">
        <f t="shared" si="10"/>
        <v>25.90754267</v>
      </c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60.0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0.0</v>
      </c>
      <c r="H36" s="54">
        <v>16.052242742118107</v>
      </c>
      <c r="I36" s="47" t="s">
        <v>39</v>
      </c>
      <c r="J36" s="39" t="str">
        <f t="shared" si="2"/>
        <v>072290 - CARLA</v>
      </c>
      <c r="K36" s="47">
        <f t="shared" si="3"/>
        <v>29.857</v>
      </c>
      <c r="L36" s="48">
        <v>16.36</v>
      </c>
      <c r="M36" s="49">
        <f t="shared" si="4"/>
        <v>29.857</v>
      </c>
      <c r="N36" s="39" t="s">
        <v>40</v>
      </c>
      <c r="O36" s="39" t="s">
        <v>41</v>
      </c>
      <c r="P36" s="39" t="s">
        <v>42</v>
      </c>
      <c r="Q36" s="47" t="str">
        <f t="shared" si="5"/>
        <v>50*60</v>
      </c>
      <c r="R36" s="50">
        <v>1.0</v>
      </c>
      <c r="S36" s="51">
        <v>1.0</v>
      </c>
      <c r="T36" s="51">
        <v>0.0</v>
      </c>
      <c r="U36" s="51">
        <v>0.0</v>
      </c>
      <c r="V36" s="47" t="s">
        <v>43</v>
      </c>
      <c r="W36" s="47" t="str">
        <f t="shared" si="6"/>
        <v>BLANC - 50*60 - REHAUSSE 13mm - (Largeur 15mm Profondeur 30mm)</v>
      </c>
      <c r="X36" s="50">
        <v>0.0</v>
      </c>
      <c r="Y36" s="52" t="s">
        <v>44</v>
      </c>
      <c r="Z36" s="47" t="str">
        <f t="shared" si="7"/>
        <v>CARLA BLANC + REHAUSSE 13 50*60 VERRE</v>
      </c>
      <c r="AA36" s="39" t="s">
        <v>45</v>
      </c>
      <c r="AB36" s="39" t="s">
        <v>46</v>
      </c>
      <c r="AC36" s="47" t="str">
        <f t="shared" si="8"/>
        <v>CARLA BLANC + REHAUSSE 13 50*60 VERRE</v>
      </c>
      <c r="AD36" s="39" t="s">
        <v>47</v>
      </c>
      <c r="AE36" s="39" t="str">
        <f t="shared" si="9"/>
        <v>EVA  50*60 BLANC VERRE REHAUSSE 13mm - CADRES GALERIE - Pas de passepartout - Dos classique sans chevalet (Largeur 15mm Profondeur 30mm)</v>
      </c>
      <c r="AF36" s="39" t="str">
        <f t="shared" si="1"/>
        <v>EVA  50*60 BLANC VERRE REHAUSSE 13mm - CADRES GALERIE - Pas de passepartout - Dos classique sans chevalet (Largeur 15mm Profondeur 30mm)</v>
      </c>
      <c r="AG36" s="53">
        <f t="shared" si="10"/>
        <v>28.89403694</v>
      </c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61.0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7.0</v>
      </c>
      <c r="H37" s="54">
        <v>16.881824483259123</v>
      </c>
      <c r="I37" s="47" t="s">
        <v>39</v>
      </c>
      <c r="J37" s="39" t="str">
        <f t="shared" si="2"/>
        <v>072291 - CARLA</v>
      </c>
      <c r="K37" s="47">
        <f t="shared" si="3"/>
        <v>31.39</v>
      </c>
      <c r="L37" s="48">
        <v>17.2</v>
      </c>
      <c r="M37" s="49">
        <f t="shared" si="4"/>
        <v>31.39</v>
      </c>
      <c r="N37" s="39" t="s">
        <v>40</v>
      </c>
      <c r="O37" s="39" t="s">
        <v>41</v>
      </c>
      <c r="P37" s="39" t="s">
        <v>42</v>
      </c>
      <c r="Q37" s="47" t="str">
        <f t="shared" si="5"/>
        <v>50*65</v>
      </c>
      <c r="R37" s="50">
        <v>1.0</v>
      </c>
      <c r="S37" s="51">
        <v>1.0</v>
      </c>
      <c r="T37" s="51">
        <v>0.0</v>
      </c>
      <c r="U37" s="51">
        <v>0.0</v>
      </c>
      <c r="V37" s="47" t="s">
        <v>43</v>
      </c>
      <c r="W37" s="47" t="str">
        <f t="shared" si="6"/>
        <v>BLANC - 50*65 - REHAUSSE 13mm - (Largeur 15mm Profondeur 30mm)</v>
      </c>
      <c r="X37" s="50">
        <v>0.0</v>
      </c>
      <c r="Y37" s="52" t="s">
        <v>44</v>
      </c>
      <c r="Z37" s="47" t="str">
        <f t="shared" si="7"/>
        <v>CARLA BLANC + REHAUSSE 13 50*65 VERRE</v>
      </c>
      <c r="AA37" s="39" t="s">
        <v>45</v>
      </c>
      <c r="AB37" s="39" t="s">
        <v>46</v>
      </c>
      <c r="AC37" s="47" t="str">
        <f t="shared" si="8"/>
        <v>CARLA BLANC + REHAUSSE 13 50*65 VERRE</v>
      </c>
      <c r="AD37" s="39" t="s">
        <v>47</v>
      </c>
      <c r="AE37" s="39" t="str">
        <f t="shared" si="9"/>
        <v>EVA  50*65 BLANC VERRE REHAUSSE 13mm - CADRES GALERIE - Pas de passepartout - Dos classique sans chevalet (Largeur 15mm Profondeur 30mm)</v>
      </c>
      <c r="AF37" s="39" t="str">
        <f t="shared" si="1"/>
        <v>EVA  50*65 BLANC VERRE REHAUSSE 13mm - CADRES GALERIE - Pas de passepartout - Dos classique sans chevalet (Largeur 15mm Profondeur 30mm)</v>
      </c>
      <c r="AG37" s="53">
        <f t="shared" si="10"/>
        <v>30.38728407</v>
      </c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62.0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4.0</v>
      </c>
      <c r="H38" s="54">
        <v>17.711406224400147</v>
      </c>
      <c r="I38" s="47" t="s">
        <v>39</v>
      </c>
      <c r="J38" s="39" t="str">
        <f t="shared" si="2"/>
        <v>072292 - CARLA</v>
      </c>
      <c r="K38" s="47">
        <f t="shared" si="3"/>
        <v>32.94125</v>
      </c>
      <c r="L38" s="48">
        <v>18.05</v>
      </c>
      <c r="M38" s="49">
        <f t="shared" si="4"/>
        <v>32.94125</v>
      </c>
      <c r="N38" s="39" t="s">
        <v>40</v>
      </c>
      <c r="O38" s="39" t="s">
        <v>41</v>
      </c>
      <c r="P38" s="39" t="s">
        <v>42</v>
      </c>
      <c r="Q38" s="47" t="str">
        <f t="shared" si="5"/>
        <v>50*70</v>
      </c>
      <c r="R38" s="50">
        <v>1.0</v>
      </c>
      <c r="S38" s="51">
        <v>1.0</v>
      </c>
      <c r="T38" s="51">
        <v>0.0</v>
      </c>
      <c r="U38" s="51">
        <v>0.0</v>
      </c>
      <c r="V38" s="47" t="s">
        <v>43</v>
      </c>
      <c r="W38" s="47" t="str">
        <f t="shared" si="6"/>
        <v>BLANC - 50*70 - REHAUSSE 13mm - (Largeur 15mm Profondeur 30mm)</v>
      </c>
      <c r="X38" s="50">
        <v>0.0</v>
      </c>
      <c r="Y38" s="52" t="s">
        <v>44</v>
      </c>
      <c r="Z38" s="47" t="str">
        <f t="shared" si="7"/>
        <v>CARLA BLANC + REHAUSSE 13 50*70 VERRE</v>
      </c>
      <c r="AA38" s="39" t="s">
        <v>45</v>
      </c>
      <c r="AB38" s="39" t="s">
        <v>46</v>
      </c>
      <c r="AC38" s="47" t="str">
        <f t="shared" si="8"/>
        <v>CARLA BLANC + REHAUSSE 13 50*70 VERRE</v>
      </c>
      <c r="AD38" s="39" t="s">
        <v>47</v>
      </c>
      <c r="AE38" s="39" t="str">
        <f t="shared" si="9"/>
        <v>EVA  50*70 BLANC VERRE REHAUSSE 13mm - CADRES GALERIE - Pas de passepartout - Dos classique sans chevalet (Largeur 15mm Profondeur 30mm)</v>
      </c>
      <c r="AF38" s="39" t="str">
        <f t="shared" si="1"/>
        <v>EVA  50*70 BLANC VERRE REHAUSSE 13mm - CADRES GALERIE - Pas de passepartout - Dos classique sans chevalet (Largeur 15mm Profondeur 30mm)</v>
      </c>
      <c r="AG38" s="53">
        <f t="shared" si="10"/>
        <v>31.8805312</v>
      </c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63.0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4.0</v>
      </c>
      <c r="H39" s="54">
        <v>18.06563434888815</v>
      </c>
      <c r="I39" s="47" t="s">
        <v>39</v>
      </c>
      <c r="J39" s="39" t="str">
        <f t="shared" si="2"/>
        <v>054302 - CARLA</v>
      </c>
      <c r="K39" s="47">
        <f t="shared" si="3"/>
        <v>33.59825</v>
      </c>
      <c r="L39" s="48">
        <v>18.41</v>
      </c>
      <c r="M39" s="49">
        <f t="shared" si="4"/>
        <v>33.59825</v>
      </c>
      <c r="N39" s="39" t="s">
        <v>40</v>
      </c>
      <c r="O39" s="39" t="s">
        <v>41</v>
      </c>
      <c r="P39" s="39" t="s">
        <v>42</v>
      </c>
      <c r="Q39" s="47" t="str">
        <f t="shared" si="5"/>
        <v>60*60</v>
      </c>
      <c r="R39" s="50">
        <v>1.0</v>
      </c>
      <c r="S39" s="51">
        <v>1.0</v>
      </c>
      <c r="T39" s="51">
        <v>0.0</v>
      </c>
      <c r="U39" s="51">
        <v>0.0</v>
      </c>
      <c r="V39" s="47" t="s">
        <v>43</v>
      </c>
      <c r="W39" s="47" t="str">
        <f t="shared" si="6"/>
        <v>BLANC - 60*60 - REHAUSSE 13mm - (Largeur 15mm Profondeur 30mm)</v>
      </c>
      <c r="X39" s="50">
        <v>0.0</v>
      </c>
      <c r="Y39" s="52" t="s">
        <v>44</v>
      </c>
      <c r="Z39" s="47" t="str">
        <f t="shared" si="7"/>
        <v>CARLA BLANC + REHAUSSE 13 60*60 VERRE</v>
      </c>
      <c r="AA39" s="39" t="s">
        <v>45</v>
      </c>
      <c r="AB39" s="39" t="s">
        <v>46</v>
      </c>
      <c r="AC39" s="47" t="str">
        <f t="shared" si="8"/>
        <v>CARLA BLANC + REHAUSSE 13 60*60 VERRE</v>
      </c>
      <c r="AD39" s="39" t="s">
        <v>47</v>
      </c>
      <c r="AE39" s="39" t="str">
        <f t="shared" si="9"/>
        <v>EVA  60*60 BLANC VERRE REHAUSSE 13mm - CADRES GALERIE - Pas de passepartout - Dos classique sans chevalet (Largeur 15mm Profondeur 30mm)</v>
      </c>
      <c r="AF39" s="39" t="str">
        <f t="shared" si="1"/>
        <v>EVA  60*60 BLANC VERRE REHAUSSE 13mm - CADRES GALERIE - Pas de passepartout - Dos classique sans chevalet (Largeur 15mm Profondeur 30mm)</v>
      </c>
      <c r="AG39" s="53">
        <f t="shared" si="10"/>
        <v>32.51814183</v>
      </c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64.0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1.0</v>
      </c>
      <c r="H40" s="54">
        <v>21.423210694643785</v>
      </c>
      <c r="I40" s="47" t="s">
        <v>39</v>
      </c>
      <c r="J40" s="39" t="str">
        <f t="shared" si="2"/>
        <v>072293 - CARLA</v>
      </c>
      <c r="K40" s="47">
        <f t="shared" si="3"/>
        <v>39.83975</v>
      </c>
      <c r="L40" s="48">
        <v>21.83</v>
      </c>
      <c r="M40" s="49">
        <f t="shared" si="4"/>
        <v>39.83975</v>
      </c>
      <c r="N40" s="39" t="s">
        <v>40</v>
      </c>
      <c r="O40" s="39" t="s">
        <v>41</v>
      </c>
      <c r="P40" s="39" t="s">
        <v>42</v>
      </c>
      <c r="Q40" s="47" t="str">
        <f t="shared" si="5"/>
        <v>60*80</v>
      </c>
      <c r="R40" s="50">
        <v>1.0</v>
      </c>
      <c r="S40" s="51">
        <v>1.0</v>
      </c>
      <c r="T40" s="51">
        <v>0.0</v>
      </c>
      <c r="U40" s="51">
        <v>0.0</v>
      </c>
      <c r="V40" s="47" t="s">
        <v>43</v>
      </c>
      <c r="W40" s="47" t="str">
        <f t="shared" si="6"/>
        <v>BLANC - 60*80 - REHAUSSE 13mm - (Largeur 15mm Profondeur 30mm)</v>
      </c>
      <c r="X40" s="50">
        <v>0.0</v>
      </c>
      <c r="Y40" s="52" t="s">
        <v>44</v>
      </c>
      <c r="Z40" s="47" t="str">
        <f t="shared" si="7"/>
        <v>CARLA BLANC + REHAUSSE 13 60*80 VERRE</v>
      </c>
      <c r="AA40" s="39" t="s">
        <v>45</v>
      </c>
      <c r="AB40" s="39" t="s">
        <v>46</v>
      </c>
      <c r="AC40" s="47" t="str">
        <f t="shared" si="8"/>
        <v>CARLA BLANC + REHAUSSE 13 60*80 VERRE</v>
      </c>
      <c r="AD40" s="39" t="s">
        <v>47</v>
      </c>
      <c r="AE40" s="39" t="str">
        <f t="shared" si="9"/>
        <v>EVA  60*80 BLANC VERRE REHAUSSE 13mm - CADRES GALERIE - Pas de passepartout - Dos classique sans chevalet (Largeur 15mm Profondeur 30mm)</v>
      </c>
      <c r="AF40" s="39" t="str">
        <f t="shared" si="1"/>
        <v>EVA  60*80 BLANC VERRE REHAUSSE 13mm - CADRES GALERIE - Pas de passepartout - Dos classique sans chevalet (Largeur 15mm Profondeur 30mm)</v>
      </c>
      <c r="AG40" s="53">
        <f t="shared" si="10"/>
        <v>38.56177925</v>
      </c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158.0</v>
      </c>
      <c r="B41" s="40" t="s">
        <v>116</v>
      </c>
      <c r="C41" s="41" t="s">
        <v>37</v>
      </c>
      <c r="D41" s="42" t="s">
        <v>117</v>
      </c>
      <c r="E41" s="43">
        <v>345707.0</v>
      </c>
      <c r="F41" s="44" t="s">
        <v>117</v>
      </c>
      <c r="G41" s="45">
        <v>2.0</v>
      </c>
      <c r="H41" s="54">
        <v>2.7095493415655616</v>
      </c>
      <c r="I41" s="47" t="s">
        <v>39</v>
      </c>
      <c r="J41" s="39" t="str">
        <f t="shared" si="2"/>
        <v>072098 - CARLA</v>
      </c>
      <c r="K41" s="47">
        <f t="shared" si="3"/>
        <v>5.037</v>
      </c>
      <c r="L41" s="48">
        <v>2.76</v>
      </c>
      <c r="M41" s="49">
        <f t="shared" si="4"/>
        <v>5.037</v>
      </c>
      <c r="N41" s="39" t="s">
        <v>118</v>
      </c>
      <c r="O41" s="39" t="s">
        <v>41</v>
      </c>
      <c r="P41" s="39" t="s">
        <v>42</v>
      </c>
      <c r="Q41" s="47" t="str">
        <f t="shared" si="5"/>
        <v>10*15</v>
      </c>
      <c r="R41" s="50">
        <v>1.0</v>
      </c>
      <c r="S41" s="51">
        <v>0.0</v>
      </c>
      <c r="T41" s="51">
        <v>1.0</v>
      </c>
      <c r="U41" s="51">
        <v>0.0</v>
      </c>
      <c r="V41" s="39" t="s">
        <v>119</v>
      </c>
      <c r="W41" s="47" t="str">
        <f t="shared" si="6"/>
        <v>BLANC - 10*15 - PAS DE REHAUSSE - (Largeur 15mm Profondeur 30mm)</v>
      </c>
      <c r="X41" s="50">
        <v>0.0</v>
      </c>
      <c r="Y41" s="52" t="s">
        <v>44</v>
      </c>
      <c r="Z41" s="47" t="str">
        <f t="shared" si="7"/>
        <v>CARLA BLANC 10*15 VERRE</v>
      </c>
      <c r="AA41" s="39" t="s">
        <v>45</v>
      </c>
      <c r="AB41" s="39" t="s">
        <v>46</v>
      </c>
      <c r="AC41" s="47" t="str">
        <f t="shared" si="8"/>
        <v>CARLA BLANC 10*15 VERRE</v>
      </c>
      <c r="AD41" s="39" t="s">
        <v>47</v>
      </c>
      <c r="AE41" s="39" t="str">
        <f t="shared" si="9"/>
        <v>EVA  10*15 BLANC VERRE PAS DE REHAUSSE - CADRES CLASSIQUES - Pas de passepartout - Dos classique sans chevalet (Largeur 15mm Profondeur 30mm)</v>
      </c>
      <c r="AF41" s="39" t="str">
        <f t="shared" si="1"/>
        <v>EVA  10*15 BLANC VERRE PAS DE REHAUSSE - CADRES CLASSIQUES - Pas de passepartout - Dos classique sans chevalet (Largeur 15mm Profondeur 30mm)</v>
      </c>
      <c r="AG41" s="53">
        <f t="shared" si="10"/>
        <v>4.877188815</v>
      </c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158.0</v>
      </c>
      <c r="B42" s="40" t="s">
        <v>116</v>
      </c>
      <c r="C42" s="41" t="s">
        <v>37</v>
      </c>
      <c r="D42" s="42" t="s">
        <v>120</v>
      </c>
      <c r="E42" s="43">
        <v>345707.0</v>
      </c>
      <c r="F42" s="44" t="s">
        <v>117</v>
      </c>
      <c r="G42" s="45">
        <v>2.0</v>
      </c>
      <c r="H42" s="54">
        <v>2.7095493415655616</v>
      </c>
      <c r="I42" s="47" t="s">
        <v>39</v>
      </c>
      <c r="J42" s="39" t="str">
        <f t="shared" si="2"/>
        <v>072098DC - CARLA</v>
      </c>
      <c r="K42" s="47">
        <f t="shared" si="3"/>
        <v>5.037</v>
      </c>
      <c r="L42" s="48">
        <v>2.76</v>
      </c>
      <c r="M42" s="49">
        <f t="shared" si="4"/>
        <v>5.037</v>
      </c>
      <c r="N42" s="39" t="s">
        <v>118</v>
      </c>
      <c r="O42" s="39" t="s">
        <v>41</v>
      </c>
      <c r="P42" s="39" t="s">
        <v>42</v>
      </c>
      <c r="Q42" s="47" t="str">
        <f t="shared" si="5"/>
        <v>10*15</v>
      </c>
      <c r="R42" s="50">
        <v>1.0</v>
      </c>
      <c r="S42" s="51">
        <v>0.0</v>
      </c>
      <c r="T42" s="51">
        <v>1.0</v>
      </c>
      <c r="U42" s="51">
        <v>1.0</v>
      </c>
      <c r="V42" s="39" t="s">
        <v>119</v>
      </c>
      <c r="W42" s="47" t="str">
        <f t="shared" si="6"/>
        <v>BLANC - 10*15 - PAS DE REHAUSSE - (Largeur 15mm Profondeur 30mm)</v>
      </c>
      <c r="X42" s="50">
        <v>0.0</v>
      </c>
      <c r="Y42" s="52" t="s">
        <v>44</v>
      </c>
      <c r="Z42" s="47" t="str">
        <f t="shared" si="7"/>
        <v>CARLA BLANC 10*15 VERRE</v>
      </c>
      <c r="AA42" s="39" t="s">
        <v>45</v>
      </c>
      <c r="AB42" s="39" t="s">
        <v>49</v>
      </c>
      <c r="AC42" s="47" t="str">
        <f t="shared" si="8"/>
        <v>CARLA BLANC 10*15 VERRE</v>
      </c>
      <c r="AD42" s="39" t="s">
        <v>47</v>
      </c>
      <c r="AE42" s="39" t="str">
        <f t="shared" si="9"/>
        <v>EVA  10*15 BLANC VERRE PAS DE REHAUSSE - CADRES CLASSIQUES - Pas de passepartout - DOS AVEC CHEVALET (Largeur 15mm Profondeur 30mm)</v>
      </c>
      <c r="AF42" s="39" t="str">
        <f t="shared" si="1"/>
        <v>EVA  10*15 BLANC VERRE PAS DE REHAUSSE - CADRES CLASSIQUES - Pas de passepartout - DOS AVEC CHEVALET (Largeur 15mm Profondeur 30mm)</v>
      </c>
      <c r="AG42" s="53">
        <f t="shared" si="10"/>
        <v>4.877188815</v>
      </c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159.0</v>
      </c>
      <c r="B43" s="40" t="s">
        <v>116</v>
      </c>
      <c r="C43" s="41" t="s">
        <v>50</v>
      </c>
      <c r="D43" s="42" t="s">
        <v>121</v>
      </c>
      <c r="E43" s="43">
        <v>345707.0</v>
      </c>
      <c r="F43" s="44" t="s">
        <v>121</v>
      </c>
      <c r="G43" s="45">
        <v>9.0</v>
      </c>
      <c r="H43" s="54">
        <v>2.469481220540844</v>
      </c>
      <c r="I43" s="47" t="s">
        <v>39</v>
      </c>
      <c r="J43" s="39" t="str">
        <f t="shared" si="2"/>
        <v>072099 - CARLA</v>
      </c>
      <c r="K43" s="47">
        <f t="shared" si="3"/>
        <v>4.599</v>
      </c>
      <c r="L43" s="48">
        <v>2.52</v>
      </c>
      <c r="M43" s="49">
        <f t="shared" si="4"/>
        <v>4.599</v>
      </c>
      <c r="N43" s="39" t="s">
        <v>118</v>
      </c>
      <c r="O43" s="39" t="s">
        <v>41</v>
      </c>
      <c r="P43" s="39" t="s">
        <v>42</v>
      </c>
      <c r="Q43" s="47" t="str">
        <f t="shared" si="5"/>
        <v>11*11</v>
      </c>
      <c r="R43" s="50">
        <v>1.0</v>
      </c>
      <c r="S43" s="51">
        <v>0.0</v>
      </c>
      <c r="T43" s="51">
        <v>0.0</v>
      </c>
      <c r="U43" s="51">
        <v>0.0</v>
      </c>
      <c r="V43" s="39" t="s">
        <v>119</v>
      </c>
      <c r="W43" s="47" t="str">
        <f t="shared" si="6"/>
        <v>BLANC - 11*11 - PAS DE REHAUSSE - (Largeur 15mm Profondeur 30mm)</v>
      </c>
      <c r="X43" s="50">
        <v>0.0</v>
      </c>
      <c r="Y43" s="52" t="s">
        <v>44</v>
      </c>
      <c r="Z43" s="47" t="str">
        <f t="shared" si="7"/>
        <v>CARLA BLANC 11*11 VERRE</v>
      </c>
      <c r="AA43" s="39" t="s">
        <v>45</v>
      </c>
      <c r="AB43" s="39" t="s">
        <v>46</v>
      </c>
      <c r="AC43" s="47" t="str">
        <f t="shared" si="8"/>
        <v>CARLA BLANC 11*11 VERRE</v>
      </c>
      <c r="AD43" s="39" t="s">
        <v>47</v>
      </c>
      <c r="AE43" s="39" t="str">
        <f t="shared" si="9"/>
        <v>EVA  11*11 BLANC VERRE PAS DE REHAUSSE - CADRES CLASSIQUES - Pas de passepartout - Dos classique sans chevalet (Largeur 15mm Profondeur 30mm)</v>
      </c>
      <c r="AF43" s="39" t="str">
        <f t="shared" si="1"/>
        <v>EVA  11*11 BLANC VERRE PAS DE REHAUSSE - CADRES CLASSIQUES - Pas de passepartout - Dos classique sans chevalet (Largeur 15mm Profondeur 30mm)</v>
      </c>
      <c r="AG43" s="53">
        <f t="shared" si="10"/>
        <v>4.445066197</v>
      </c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160.0</v>
      </c>
      <c r="B44" s="40" t="s">
        <v>116</v>
      </c>
      <c r="C44" s="41" t="s">
        <v>52</v>
      </c>
      <c r="D44" s="42" t="s">
        <v>122</v>
      </c>
      <c r="E44" s="43">
        <v>345707.0</v>
      </c>
      <c r="F44" s="44" t="s">
        <v>122</v>
      </c>
      <c r="G44" s="45">
        <v>9.0</v>
      </c>
      <c r="H44" s="54">
        <v>3.223353673758705</v>
      </c>
      <c r="I44" s="47" t="s">
        <v>39</v>
      </c>
      <c r="J44" s="39" t="str">
        <f t="shared" si="2"/>
        <v>072101 - CARLA</v>
      </c>
      <c r="K44" s="47">
        <f t="shared" si="3"/>
        <v>5.986</v>
      </c>
      <c r="L44" s="48">
        <v>3.28</v>
      </c>
      <c r="M44" s="49">
        <f t="shared" si="4"/>
        <v>5.986</v>
      </c>
      <c r="N44" s="39" t="s">
        <v>118</v>
      </c>
      <c r="O44" s="39" t="s">
        <v>41</v>
      </c>
      <c r="P44" s="39" t="s">
        <v>42</v>
      </c>
      <c r="Q44" s="47" t="str">
        <f t="shared" si="5"/>
        <v>13*18</v>
      </c>
      <c r="R44" s="50">
        <v>1.0</v>
      </c>
      <c r="S44" s="51">
        <v>0.0</v>
      </c>
      <c r="T44" s="51">
        <v>1.0</v>
      </c>
      <c r="U44" s="51">
        <v>0.0</v>
      </c>
      <c r="V44" s="39" t="s">
        <v>119</v>
      </c>
      <c r="W44" s="47" t="str">
        <f t="shared" si="6"/>
        <v>BLANC - 13*18 - PAS DE REHAUSSE - (Largeur 15mm Profondeur 30mm)</v>
      </c>
      <c r="X44" s="50">
        <v>0.0</v>
      </c>
      <c r="Y44" s="52" t="s">
        <v>44</v>
      </c>
      <c r="Z44" s="47" t="str">
        <f t="shared" si="7"/>
        <v>CARLA BLANC 13*18 VERRE</v>
      </c>
      <c r="AA44" s="39" t="s">
        <v>45</v>
      </c>
      <c r="AB44" s="39" t="s">
        <v>46</v>
      </c>
      <c r="AC44" s="47" t="str">
        <f t="shared" si="8"/>
        <v>CARLA BLANC 13*18 VERRE</v>
      </c>
      <c r="AD44" s="39" t="s">
        <v>47</v>
      </c>
      <c r="AE44" s="39" t="str">
        <f t="shared" si="9"/>
        <v>EVA  13*18 BLANC VERRE PAS DE REHAUSSE - CADRES CLASSIQUES - Pas de passepartout - Dos classique sans chevalet (Largeur 15mm Profondeur 30mm)</v>
      </c>
      <c r="AF44" s="39" t="str">
        <f t="shared" si="1"/>
        <v>EVA  13*18 BLANC VERRE PAS DE REHAUSSE - CADRES CLASSIQUES - Pas de passepartout - Dos classique sans chevalet (Largeur 15mm Profondeur 30mm)</v>
      </c>
      <c r="AG44" s="53">
        <f t="shared" si="10"/>
        <v>5.802036613</v>
      </c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160.0</v>
      </c>
      <c r="B45" s="40" t="s">
        <v>116</v>
      </c>
      <c r="C45" s="41" t="s">
        <v>52</v>
      </c>
      <c r="D45" s="42" t="s">
        <v>123</v>
      </c>
      <c r="E45" s="43">
        <v>345707.0</v>
      </c>
      <c r="F45" s="44" t="s">
        <v>122</v>
      </c>
      <c r="G45" s="45">
        <v>9.0</v>
      </c>
      <c r="H45" s="54">
        <v>3.223353673758705</v>
      </c>
      <c r="I45" s="47" t="s">
        <v>39</v>
      </c>
      <c r="J45" s="39" t="str">
        <f t="shared" si="2"/>
        <v>072101DC - CARLA</v>
      </c>
      <c r="K45" s="47">
        <f t="shared" si="3"/>
        <v>5.986</v>
      </c>
      <c r="L45" s="48">
        <v>3.28</v>
      </c>
      <c r="M45" s="49">
        <f t="shared" si="4"/>
        <v>5.986</v>
      </c>
      <c r="N45" s="39" t="s">
        <v>118</v>
      </c>
      <c r="O45" s="39" t="s">
        <v>41</v>
      </c>
      <c r="P45" s="39" t="s">
        <v>42</v>
      </c>
      <c r="Q45" s="47" t="str">
        <f t="shared" si="5"/>
        <v>13*18</v>
      </c>
      <c r="R45" s="50">
        <v>1.0</v>
      </c>
      <c r="S45" s="51">
        <v>0.0</v>
      </c>
      <c r="T45" s="51">
        <v>1.0</v>
      </c>
      <c r="U45" s="51">
        <v>1.0</v>
      </c>
      <c r="V45" s="39" t="s">
        <v>119</v>
      </c>
      <c r="W45" s="47" t="str">
        <f t="shared" si="6"/>
        <v>BLANC - 13*18 - PAS DE REHAUSSE - (Largeur 15mm Profondeur 30mm)</v>
      </c>
      <c r="X45" s="50">
        <v>0.0</v>
      </c>
      <c r="Y45" s="52" t="s">
        <v>44</v>
      </c>
      <c r="Z45" s="47" t="str">
        <f t="shared" si="7"/>
        <v>CARLA BLANC 13*18 VERRE</v>
      </c>
      <c r="AA45" s="39" t="s">
        <v>45</v>
      </c>
      <c r="AB45" s="39" t="s">
        <v>49</v>
      </c>
      <c r="AC45" s="47" t="str">
        <f t="shared" si="8"/>
        <v>CARLA BLANC 13*18 VERRE</v>
      </c>
      <c r="AD45" s="39" t="s">
        <v>47</v>
      </c>
      <c r="AE45" s="39" t="str">
        <f t="shared" si="9"/>
        <v>EVA  13*18 BLANC VERRE PAS DE REHAUSSE - CADRES CLASSIQUES - Pas de passepartout - DOS AVEC CHEVALET (Largeur 15mm Profondeur 30mm)</v>
      </c>
      <c r="AF45" s="39" t="str">
        <f t="shared" si="1"/>
        <v>EVA  13*18 BLANC VERRE PAS DE REHAUSSE - CADRES CLASSIQUES - Pas de passepartout - DOS AVEC CHEVALET (Largeur 15mm Profondeur 30mm)</v>
      </c>
      <c r="AG45" s="53">
        <f t="shared" si="10"/>
        <v>5.802036613</v>
      </c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161.0</v>
      </c>
      <c r="B46" s="40" t="s">
        <v>116</v>
      </c>
      <c r="C46" s="41" t="s">
        <v>55</v>
      </c>
      <c r="D46" s="42" t="s">
        <v>124</v>
      </c>
      <c r="E46" s="43">
        <v>345707.0</v>
      </c>
      <c r="F46" s="44" t="s">
        <v>124</v>
      </c>
      <c r="G46" s="45">
        <v>3.0</v>
      </c>
      <c r="H46" s="54">
        <v>2.971247014762603</v>
      </c>
      <c r="I46" s="47" t="s">
        <v>39</v>
      </c>
      <c r="J46" s="39" t="str">
        <f t="shared" si="2"/>
        <v>072103 - CARLA</v>
      </c>
      <c r="K46" s="47">
        <f t="shared" si="3"/>
        <v>5.52975</v>
      </c>
      <c r="L46" s="48">
        <v>3.03</v>
      </c>
      <c r="M46" s="49">
        <f t="shared" si="4"/>
        <v>5.52975</v>
      </c>
      <c r="N46" s="39" t="s">
        <v>118</v>
      </c>
      <c r="O46" s="39" t="s">
        <v>41</v>
      </c>
      <c r="P46" s="39" t="s">
        <v>42</v>
      </c>
      <c r="Q46" s="47" t="str">
        <f t="shared" si="5"/>
        <v>14*14</v>
      </c>
      <c r="R46" s="50">
        <v>1.0</v>
      </c>
      <c r="S46" s="51">
        <v>0.0</v>
      </c>
      <c r="T46" s="51">
        <v>0.0</v>
      </c>
      <c r="U46" s="51">
        <v>0.0</v>
      </c>
      <c r="V46" s="39" t="s">
        <v>119</v>
      </c>
      <c r="W46" s="47" t="str">
        <f t="shared" si="6"/>
        <v>BLANC - 14*14 - PAS DE REHAUSSE - (Largeur 15mm Profondeur 30mm)</v>
      </c>
      <c r="X46" s="50">
        <v>0.0</v>
      </c>
      <c r="Y46" s="52" t="s">
        <v>44</v>
      </c>
      <c r="Z46" s="47" t="str">
        <f t="shared" si="7"/>
        <v>CARLA BLANC 14*14 VERRE</v>
      </c>
      <c r="AA46" s="39" t="s">
        <v>45</v>
      </c>
      <c r="AB46" s="39" t="s">
        <v>46</v>
      </c>
      <c r="AC46" s="47" t="str">
        <f t="shared" si="8"/>
        <v>CARLA BLANC 14*14 VERRE</v>
      </c>
      <c r="AD46" s="39" t="s">
        <v>47</v>
      </c>
      <c r="AE46" s="39" t="str">
        <f t="shared" si="9"/>
        <v>EVA  14*14 BLANC VERRE PAS DE REHAUSSE - CADRES CLASSIQUES - Pas de passepartout - Dos classique sans chevalet (Largeur 15mm Profondeur 30mm)</v>
      </c>
      <c r="AF46" s="39" t="str">
        <f t="shared" si="1"/>
        <v>EVA  14*14 BLANC VERRE PAS DE REHAUSSE - CADRES CLASSIQUES - Pas de passepartout - Dos classique sans chevalet (Largeur 15mm Profondeur 30mm)</v>
      </c>
      <c r="AG46" s="53">
        <f t="shared" si="10"/>
        <v>5.348244627</v>
      </c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162.0</v>
      </c>
      <c r="B47" s="40" t="s">
        <v>116</v>
      </c>
      <c r="C47" s="41" t="s">
        <v>59</v>
      </c>
      <c r="D47" s="42" t="s">
        <v>125</v>
      </c>
      <c r="E47" s="43">
        <v>345707.0</v>
      </c>
      <c r="F47" s="44" t="s">
        <v>125</v>
      </c>
      <c r="G47" s="45">
        <v>0.0</v>
      </c>
      <c r="H47" s="54">
        <v>3.6650790164441864</v>
      </c>
      <c r="I47" s="47" t="s">
        <v>39</v>
      </c>
      <c r="J47" s="39" t="str">
        <f t="shared" si="2"/>
        <v>072104 - CARLA</v>
      </c>
      <c r="K47" s="47">
        <f t="shared" si="3"/>
        <v>6.80725</v>
      </c>
      <c r="L47" s="48">
        <v>3.73</v>
      </c>
      <c r="M47" s="49">
        <f t="shared" si="4"/>
        <v>6.80725</v>
      </c>
      <c r="N47" s="39" t="s">
        <v>118</v>
      </c>
      <c r="O47" s="39" t="s">
        <v>41</v>
      </c>
      <c r="P47" s="39" t="s">
        <v>42</v>
      </c>
      <c r="Q47" s="47" t="str">
        <f t="shared" si="5"/>
        <v>15*21</v>
      </c>
      <c r="R47" s="50">
        <v>1.0</v>
      </c>
      <c r="S47" s="51">
        <v>0.0</v>
      </c>
      <c r="T47" s="51">
        <v>1.0</v>
      </c>
      <c r="U47" s="51">
        <v>0.0</v>
      </c>
      <c r="V47" s="39" t="s">
        <v>119</v>
      </c>
      <c r="W47" s="47" t="str">
        <f t="shared" si="6"/>
        <v>BLANC - 15*21 - PAS DE REHAUSSE - (Largeur 15mm Profondeur 30mm)</v>
      </c>
      <c r="X47" s="50">
        <v>0.0</v>
      </c>
      <c r="Y47" s="52" t="s">
        <v>44</v>
      </c>
      <c r="Z47" s="47" t="str">
        <f t="shared" si="7"/>
        <v>CARLA BLANC 15*21 VERRE</v>
      </c>
      <c r="AA47" s="39" t="s">
        <v>45</v>
      </c>
      <c r="AB47" s="39" t="s">
        <v>46</v>
      </c>
      <c r="AC47" s="47" t="str">
        <f t="shared" si="8"/>
        <v>CARLA BLANC 15*21 VERRE</v>
      </c>
      <c r="AD47" s="39" t="s">
        <v>47</v>
      </c>
      <c r="AE47" s="39" t="str">
        <f t="shared" si="9"/>
        <v>EVA  15*21 BLANC VERRE PAS DE REHAUSSE - CADRES CLASSIQUES - Pas de passepartout - Dos classique sans chevalet (Largeur 15mm Profondeur 30mm)</v>
      </c>
      <c r="AF47" s="39" t="str">
        <f t="shared" si="1"/>
        <v>EVA  15*21 BLANC VERRE PAS DE REHAUSSE - CADRES CLASSIQUES - Pas de passepartout - Dos classique sans chevalet (Largeur 15mm Profondeur 30mm)</v>
      </c>
      <c r="AG47" s="53">
        <f t="shared" si="10"/>
        <v>6.59714223</v>
      </c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162.0</v>
      </c>
      <c r="B48" s="40" t="s">
        <v>116</v>
      </c>
      <c r="C48" s="41" t="s">
        <v>59</v>
      </c>
      <c r="D48" s="42" t="s">
        <v>126</v>
      </c>
      <c r="E48" s="43">
        <v>345707.0</v>
      </c>
      <c r="F48" s="44" t="s">
        <v>125</v>
      </c>
      <c r="G48" s="45">
        <v>0.0</v>
      </c>
      <c r="H48" s="54">
        <v>3.6650790164441864</v>
      </c>
      <c r="I48" s="47" t="s">
        <v>39</v>
      </c>
      <c r="J48" s="39" t="str">
        <f t="shared" si="2"/>
        <v>072104DC - CARLA</v>
      </c>
      <c r="K48" s="47">
        <f t="shared" si="3"/>
        <v>6.80725</v>
      </c>
      <c r="L48" s="48">
        <v>3.73</v>
      </c>
      <c r="M48" s="49">
        <f t="shared" si="4"/>
        <v>6.80725</v>
      </c>
      <c r="N48" s="39" t="s">
        <v>118</v>
      </c>
      <c r="O48" s="39" t="s">
        <v>41</v>
      </c>
      <c r="P48" s="39" t="s">
        <v>42</v>
      </c>
      <c r="Q48" s="47" t="str">
        <f t="shared" si="5"/>
        <v>15*21</v>
      </c>
      <c r="R48" s="50">
        <v>1.0</v>
      </c>
      <c r="S48" s="51">
        <v>0.0</v>
      </c>
      <c r="T48" s="51">
        <v>1.0</v>
      </c>
      <c r="U48" s="51">
        <v>1.0</v>
      </c>
      <c r="V48" s="39" t="s">
        <v>119</v>
      </c>
      <c r="W48" s="47" t="str">
        <f t="shared" si="6"/>
        <v>BLANC - 15*21 - PAS DE REHAUSSE - (Largeur 15mm Profondeur 30mm)</v>
      </c>
      <c r="X48" s="50">
        <v>0.0</v>
      </c>
      <c r="Y48" s="52" t="s">
        <v>44</v>
      </c>
      <c r="Z48" s="47" t="str">
        <f t="shared" si="7"/>
        <v>CARLA BLANC 15*21 VERRE</v>
      </c>
      <c r="AA48" s="39" t="s">
        <v>45</v>
      </c>
      <c r="AB48" s="39" t="s">
        <v>49</v>
      </c>
      <c r="AC48" s="47" t="str">
        <f t="shared" si="8"/>
        <v>CARLA BLANC 15*21 VERRE</v>
      </c>
      <c r="AD48" s="39" t="s">
        <v>47</v>
      </c>
      <c r="AE48" s="39" t="str">
        <f t="shared" si="9"/>
        <v>EVA  15*21 BLANC VERRE PAS DE REHAUSSE - CADRES CLASSIQUES - Pas de passepartout - DOS AVEC CHEVALET (Largeur 15mm Profondeur 30mm)</v>
      </c>
      <c r="AF48" s="39" t="str">
        <f t="shared" si="1"/>
        <v>EVA  15*21 BLANC VERRE PAS DE REHAUSSE - CADRES CLASSIQUES - Pas de passepartout - DOS AVEC CHEVALET (Largeur 15mm Profondeur 30mm)</v>
      </c>
      <c r="AG48" s="53">
        <f t="shared" si="10"/>
        <v>6.59714223</v>
      </c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163.0</v>
      </c>
      <c r="B49" s="40" t="s">
        <v>116</v>
      </c>
      <c r="C49" s="41" t="s">
        <v>62</v>
      </c>
      <c r="D49" s="42" t="s">
        <v>127</v>
      </c>
      <c r="E49" s="43">
        <v>345707.0</v>
      </c>
      <c r="F49" s="44" t="s">
        <v>127</v>
      </c>
      <c r="G49" s="45">
        <v>7.0</v>
      </c>
      <c r="H49" s="54">
        <v>4.221849686980731</v>
      </c>
      <c r="I49" s="47" t="s">
        <v>39</v>
      </c>
      <c r="J49" s="39" t="str">
        <f t="shared" si="2"/>
        <v>072105 - CARLA</v>
      </c>
      <c r="K49" s="47">
        <f t="shared" si="3"/>
        <v>7.8475</v>
      </c>
      <c r="L49" s="48">
        <v>4.3</v>
      </c>
      <c r="M49" s="49">
        <f t="shared" si="4"/>
        <v>7.8475</v>
      </c>
      <c r="N49" s="39" t="s">
        <v>118</v>
      </c>
      <c r="O49" s="39" t="s">
        <v>41</v>
      </c>
      <c r="P49" s="39" t="s">
        <v>42</v>
      </c>
      <c r="Q49" s="47" t="str">
        <f t="shared" si="5"/>
        <v>18*24</v>
      </c>
      <c r="R49" s="50">
        <v>1.0</v>
      </c>
      <c r="S49" s="51">
        <v>0.0</v>
      </c>
      <c r="T49" s="51">
        <v>1.0</v>
      </c>
      <c r="U49" s="51">
        <v>0.0</v>
      </c>
      <c r="V49" s="39" t="s">
        <v>119</v>
      </c>
      <c r="W49" s="47" t="str">
        <f t="shared" si="6"/>
        <v>BLANC - 18*24 - PAS DE REHAUSSE - (Largeur 15mm Profondeur 30mm)</v>
      </c>
      <c r="X49" s="50">
        <v>0.0</v>
      </c>
      <c r="Y49" s="52" t="s">
        <v>44</v>
      </c>
      <c r="Z49" s="47" t="str">
        <f t="shared" si="7"/>
        <v>CARLA BLANC 18*24 VERRE</v>
      </c>
      <c r="AA49" s="39" t="s">
        <v>45</v>
      </c>
      <c r="AB49" s="39" t="s">
        <v>46</v>
      </c>
      <c r="AC49" s="47" t="str">
        <f t="shared" si="8"/>
        <v>CARLA BLANC 18*24 VERRE</v>
      </c>
      <c r="AD49" s="39" t="s">
        <v>47</v>
      </c>
      <c r="AE49" s="39" t="str">
        <f t="shared" si="9"/>
        <v>EVA  18*24 BLANC VERRE PAS DE REHAUSSE - CADRES CLASSIQUES - Pas de passepartout - Dos classique sans chevalet (Largeur 15mm Profondeur 30mm)</v>
      </c>
      <c r="AF49" s="39" t="str">
        <f t="shared" si="1"/>
        <v>EVA  18*24 BLANC VERRE PAS DE REHAUSSE - CADRES CLASSIQUES - Pas de passepartout - Dos classique sans chevalet (Largeur 15mm Profondeur 30mm)</v>
      </c>
      <c r="AG49" s="53">
        <f t="shared" si="10"/>
        <v>7.599329437</v>
      </c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163.0</v>
      </c>
      <c r="B50" s="40" t="s">
        <v>116</v>
      </c>
      <c r="C50" s="41" t="s">
        <v>62</v>
      </c>
      <c r="D50" s="42" t="s">
        <v>128</v>
      </c>
      <c r="E50" s="43">
        <v>345707.0</v>
      </c>
      <c r="F50" s="44" t="s">
        <v>127</v>
      </c>
      <c r="G50" s="45">
        <v>7.0</v>
      </c>
      <c r="H50" s="54">
        <v>4.221849686980731</v>
      </c>
      <c r="I50" s="47" t="s">
        <v>39</v>
      </c>
      <c r="J50" s="39" t="str">
        <f t="shared" si="2"/>
        <v>072105DC - CARLA</v>
      </c>
      <c r="K50" s="47">
        <f t="shared" si="3"/>
        <v>7.8475</v>
      </c>
      <c r="L50" s="48">
        <v>4.3</v>
      </c>
      <c r="M50" s="49">
        <f t="shared" si="4"/>
        <v>7.8475</v>
      </c>
      <c r="N50" s="39" t="s">
        <v>118</v>
      </c>
      <c r="O50" s="39" t="s">
        <v>41</v>
      </c>
      <c r="P50" s="39" t="s">
        <v>42</v>
      </c>
      <c r="Q50" s="47" t="str">
        <f t="shared" si="5"/>
        <v>18*24</v>
      </c>
      <c r="R50" s="50">
        <v>1.0</v>
      </c>
      <c r="S50" s="51">
        <v>0.0</v>
      </c>
      <c r="T50" s="51">
        <v>1.0</v>
      </c>
      <c r="U50" s="51">
        <v>1.0</v>
      </c>
      <c r="V50" s="39" t="s">
        <v>119</v>
      </c>
      <c r="W50" s="47" t="str">
        <f t="shared" si="6"/>
        <v>BLANC - 18*24 - PAS DE REHAUSSE - (Largeur 15mm Profondeur 30mm)</v>
      </c>
      <c r="X50" s="50">
        <v>0.0</v>
      </c>
      <c r="Y50" s="52" t="s">
        <v>44</v>
      </c>
      <c r="Z50" s="47" t="str">
        <f t="shared" si="7"/>
        <v>CARLA BLANC 18*24 VERRE</v>
      </c>
      <c r="AA50" s="39" t="s">
        <v>45</v>
      </c>
      <c r="AB50" s="39" t="s">
        <v>49</v>
      </c>
      <c r="AC50" s="47" t="str">
        <f t="shared" si="8"/>
        <v>CARLA BLANC 18*24 VERRE</v>
      </c>
      <c r="AD50" s="39" t="s">
        <v>47</v>
      </c>
      <c r="AE50" s="39" t="str">
        <f t="shared" si="9"/>
        <v>EVA  18*24 BLANC VERRE PAS DE REHAUSSE - CADRES CLASSIQUES - Pas de passepartout - DOS AVEC CHEVALET (Largeur 15mm Profondeur 30mm)</v>
      </c>
      <c r="AF50" s="39" t="str">
        <f t="shared" si="1"/>
        <v>EVA  18*24 BLANC VERRE PAS DE REHAUSSE - CADRES CLASSIQUES - Pas de passepartout - DOS AVEC CHEVALET (Largeur 15mm Profondeur 30mm)</v>
      </c>
      <c r="AG50" s="53">
        <f t="shared" si="10"/>
        <v>7.599329437</v>
      </c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164.0</v>
      </c>
      <c r="B51" s="40" t="s">
        <v>116</v>
      </c>
      <c r="C51" s="41" t="s">
        <v>65</v>
      </c>
      <c r="D51" s="42" t="s">
        <v>129</v>
      </c>
      <c r="E51" s="43">
        <v>345707.0</v>
      </c>
      <c r="F51" s="44" t="s">
        <v>129</v>
      </c>
      <c r="G51" s="45">
        <v>4.0</v>
      </c>
      <c r="H51" s="54">
        <v>5.220954653485354</v>
      </c>
      <c r="I51" s="47" t="s">
        <v>39</v>
      </c>
      <c r="J51" s="39" t="str">
        <f t="shared" si="2"/>
        <v>072106 - CARLA</v>
      </c>
      <c r="K51" s="47">
        <f t="shared" si="3"/>
        <v>9.709</v>
      </c>
      <c r="L51" s="48">
        <v>5.32</v>
      </c>
      <c r="M51" s="49">
        <f t="shared" si="4"/>
        <v>9.709</v>
      </c>
      <c r="N51" s="39" t="s">
        <v>118</v>
      </c>
      <c r="O51" s="39" t="s">
        <v>41</v>
      </c>
      <c r="P51" s="39" t="s">
        <v>42</v>
      </c>
      <c r="Q51" s="47" t="str">
        <f t="shared" si="5"/>
        <v>18*35</v>
      </c>
      <c r="R51" s="50">
        <v>1.0</v>
      </c>
      <c r="S51" s="51">
        <v>0.0</v>
      </c>
      <c r="T51" s="51">
        <v>0.0</v>
      </c>
      <c r="U51" s="51">
        <v>0.0</v>
      </c>
      <c r="V51" s="39" t="s">
        <v>119</v>
      </c>
      <c r="W51" s="47" t="str">
        <f t="shared" si="6"/>
        <v>BLANC - 18*35 - PAS DE REHAUSSE - (Largeur 15mm Profondeur 30mm)</v>
      </c>
      <c r="X51" s="50">
        <v>0.0</v>
      </c>
      <c r="Y51" s="52" t="s">
        <v>44</v>
      </c>
      <c r="Z51" s="47" t="str">
        <f t="shared" si="7"/>
        <v>CARLA BLANC 18*35 VERRE</v>
      </c>
      <c r="AA51" s="39" t="s">
        <v>45</v>
      </c>
      <c r="AB51" s="39" t="s">
        <v>46</v>
      </c>
      <c r="AC51" s="47" t="str">
        <f t="shared" si="8"/>
        <v>CARLA BLANC 18*35 VERRE</v>
      </c>
      <c r="AD51" s="39" t="s">
        <v>47</v>
      </c>
      <c r="AE51" s="39" t="str">
        <f t="shared" si="9"/>
        <v>EVA  18*35 BLANC VERRE PAS DE REHAUSSE - CADRES CLASSIQUES - Pas de passepartout - Dos classique sans chevalet (Largeur 15mm Profondeur 30mm)</v>
      </c>
      <c r="AF51" s="39" t="str">
        <f t="shared" si="1"/>
        <v>EVA  18*35 BLANC VERRE PAS DE REHAUSSE - CADRES CLASSIQUES - Pas de passepartout - Dos classique sans chevalet (Largeur 15mm Profondeur 30mm)</v>
      </c>
      <c r="AG51" s="53">
        <f t="shared" si="10"/>
        <v>9.397718376</v>
      </c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165.0</v>
      </c>
      <c r="B52" s="40" t="s">
        <v>116</v>
      </c>
      <c r="C52" s="41" t="s">
        <v>67</v>
      </c>
      <c r="D52" s="42" t="s">
        <v>130</v>
      </c>
      <c r="E52" s="43">
        <v>345707.0</v>
      </c>
      <c r="F52" s="44" t="s">
        <v>130</v>
      </c>
      <c r="G52" s="45">
        <v>1.0</v>
      </c>
      <c r="H52" s="54">
        <v>4.045440605267738</v>
      </c>
      <c r="I52" s="47" t="s">
        <v>39</v>
      </c>
      <c r="J52" s="39" t="str">
        <f t="shared" si="2"/>
        <v>072107 - CARLA</v>
      </c>
      <c r="K52" s="47">
        <f t="shared" si="3"/>
        <v>7.519</v>
      </c>
      <c r="L52" s="48">
        <v>4.12</v>
      </c>
      <c r="M52" s="49">
        <f t="shared" si="4"/>
        <v>7.519</v>
      </c>
      <c r="N52" s="39" t="s">
        <v>118</v>
      </c>
      <c r="O52" s="39" t="s">
        <v>41</v>
      </c>
      <c r="P52" s="39" t="s">
        <v>42</v>
      </c>
      <c r="Q52" s="47" t="str">
        <f t="shared" si="5"/>
        <v>20*20</v>
      </c>
      <c r="R52" s="50">
        <v>1.0</v>
      </c>
      <c r="S52" s="51">
        <v>0.0</v>
      </c>
      <c r="T52" s="51">
        <v>0.0</v>
      </c>
      <c r="U52" s="51">
        <v>0.0</v>
      </c>
      <c r="V52" s="39" t="s">
        <v>119</v>
      </c>
      <c r="W52" s="47" t="str">
        <f t="shared" si="6"/>
        <v>BLANC - 20*20 - PAS DE REHAUSSE - (Largeur 15mm Profondeur 30mm)</v>
      </c>
      <c r="X52" s="50">
        <v>0.0</v>
      </c>
      <c r="Y52" s="52" t="s">
        <v>44</v>
      </c>
      <c r="Z52" s="47" t="str">
        <f t="shared" si="7"/>
        <v>CARLA BLANC 20*20 VERRE</v>
      </c>
      <c r="AA52" s="39" t="s">
        <v>45</v>
      </c>
      <c r="AB52" s="39" t="s">
        <v>46</v>
      </c>
      <c r="AC52" s="47" t="str">
        <f t="shared" si="8"/>
        <v>CARLA BLANC 20*20 VERRE</v>
      </c>
      <c r="AD52" s="39" t="s">
        <v>47</v>
      </c>
      <c r="AE52" s="39" t="str">
        <f t="shared" si="9"/>
        <v>EVA  20*20 BLANC VERRE PAS DE REHAUSSE - CADRES CLASSIQUES - Pas de passepartout - Dos classique sans chevalet (Largeur 15mm Profondeur 30mm)</v>
      </c>
      <c r="AF52" s="39" t="str">
        <f t="shared" si="1"/>
        <v>EVA  20*20 BLANC VERRE PAS DE REHAUSSE - CADRES CLASSIQUES - Pas de passepartout - Dos classique sans chevalet (Largeur 15mm Profondeur 30mm)</v>
      </c>
      <c r="AG52" s="53">
        <f t="shared" si="10"/>
        <v>7.281793089</v>
      </c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166.0</v>
      </c>
      <c r="B53" s="40" t="s">
        <v>116</v>
      </c>
      <c r="C53" s="41" t="s">
        <v>69</v>
      </c>
      <c r="D53" s="42" t="s">
        <v>131</v>
      </c>
      <c r="E53" s="43">
        <v>345707.0</v>
      </c>
      <c r="F53" s="44" t="s">
        <v>131</v>
      </c>
      <c r="G53" s="45">
        <v>8.0</v>
      </c>
      <c r="H53" s="54">
        <v>4.979949681256638</v>
      </c>
      <c r="I53" s="47" t="s">
        <v>39</v>
      </c>
      <c r="J53" s="39" t="str">
        <f t="shared" si="2"/>
        <v>072108 - CARLA</v>
      </c>
      <c r="K53" s="47">
        <f t="shared" si="3"/>
        <v>9.25275</v>
      </c>
      <c r="L53" s="48">
        <v>5.07</v>
      </c>
      <c r="M53" s="49">
        <f t="shared" si="4"/>
        <v>9.25275</v>
      </c>
      <c r="N53" s="39" t="s">
        <v>118</v>
      </c>
      <c r="O53" s="39" t="s">
        <v>41</v>
      </c>
      <c r="P53" s="39" t="s">
        <v>42</v>
      </c>
      <c r="Q53" s="47" t="str">
        <f t="shared" si="5"/>
        <v>20*30</v>
      </c>
      <c r="R53" s="50">
        <v>1.0</v>
      </c>
      <c r="S53" s="51">
        <v>0.0</v>
      </c>
      <c r="T53" s="51">
        <v>1.0</v>
      </c>
      <c r="U53" s="51">
        <v>0.0</v>
      </c>
      <c r="V53" s="39" t="s">
        <v>119</v>
      </c>
      <c r="W53" s="47" t="str">
        <f t="shared" si="6"/>
        <v>BLANC - 20*30 - PAS DE REHAUSSE - (Largeur 15mm Profondeur 30mm)</v>
      </c>
      <c r="X53" s="50">
        <v>0.0</v>
      </c>
      <c r="Y53" s="52" t="s">
        <v>44</v>
      </c>
      <c r="Z53" s="47" t="str">
        <f t="shared" si="7"/>
        <v>CARLA BLANC 20*30 VERRE</v>
      </c>
      <c r="AA53" s="39" t="s">
        <v>45</v>
      </c>
      <c r="AB53" s="39" t="s">
        <v>46</v>
      </c>
      <c r="AC53" s="47" t="str">
        <f t="shared" si="8"/>
        <v>CARLA BLANC 20*30 VERRE</v>
      </c>
      <c r="AD53" s="39" t="s">
        <v>47</v>
      </c>
      <c r="AE53" s="39" t="str">
        <f t="shared" si="9"/>
        <v>EVA  20*30 BLANC VERRE PAS DE REHAUSSE - CADRES CLASSIQUES - Pas de passepartout - Dos classique sans chevalet (Largeur 15mm Profondeur 30mm)</v>
      </c>
      <c r="AF53" s="39" t="str">
        <f t="shared" si="1"/>
        <v>EVA  20*30 BLANC VERRE PAS DE REHAUSSE - CADRES CLASSIQUES - Pas de passepartout - Dos classique sans chevalet (Largeur 15mm Profondeur 30mm)</v>
      </c>
      <c r="AG53" s="53">
        <f t="shared" si="10"/>
        <v>8.963909426</v>
      </c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166.0</v>
      </c>
      <c r="B54" s="40" t="s">
        <v>116</v>
      </c>
      <c r="C54" s="41" t="s">
        <v>69</v>
      </c>
      <c r="D54" s="42" t="s">
        <v>132</v>
      </c>
      <c r="E54" s="43">
        <v>345707.0</v>
      </c>
      <c r="F54" s="44" t="s">
        <v>131</v>
      </c>
      <c r="G54" s="45">
        <v>8.0</v>
      </c>
      <c r="H54" s="54">
        <v>4.979949681256638</v>
      </c>
      <c r="I54" s="47" t="s">
        <v>39</v>
      </c>
      <c r="J54" s="39" t="str">
        <f t="shared" si="2"/>
        <v>072108DC - CARLA</v>
      </c>
      <c r="K54" s="47">
        <f t="shared" si="3"/>
        <v>9.25275</v>
      </c>
      <c r="L54" s="48">
        <v>5.07</v>
      </c>
      <c r="M54" s="49">
        <f t="shared" si="4"/>
        <v>9.25275</v>
      </c>
      <c r="N54" s="39" t="s">
        <v>118</v>
      </c>
      <c r="O54" s="39" t="s">
        <v>41</v>
      </c>
      <c r="P54" s="39" t="s">
        <v>42</v>
      </c>
      <c r="Q54" s="47" t="str">
        <f t="shared" si="5"/>
        <v>20*30</v>
      </c>
      <c r="R54" s="50">
        <v>1.0</v>
      </c>
      <c r="S54" s="51">
        <v>0.0</v>
      </c>
      <c r="T54" s="51">
        <v>1.0</v>
      </c>
      <c r="U54" s="51">
        <v>1.0</v>
      </c>
      <c r="V54" s="39" t="s">
        <v>119</v>
      </c>
      <c r="W54" s="47" t="str">
        <f t="shared" si="6"/>
        <v>BLANC - 20*30 - PAS DE REHAUSSE - (Largeur 15mm Profondeur 30mm)</v>
      </c>
      <c r="X54" s="50">
        <v>0.0</v>
      </c>
      <c r="Y54" s="52" t="s">
        <v>44</v>
      </c>
      <c r="Z54" s="47" t="str">
        <f t="shared" si="7"/>
        <v>CARLA BLANC 20*30 VERRE</v>
      </c>
      <c r="AA54" s="39" t="s">
        <v>45</v>
      </c>
      <c r="AB54" s="39" t="s">
        <v>49</v>
      </c>
      <c r="AC54" s="47" t="str">
        <f t="shared" si="8"/>
        <v>CARLA BLANC 20*30 VERRE</v>
      </c>
      <c r="AD54" s="39" t="s">
        <v>47</v>
      </c>
      <c r="AE54" s="39" t="str">
        <f t="shared" si="9"/>
        <v>EVA  20*30 BLANC VERRE PAS DE REHAUSSE - CADRES CLASSIQUES - Pas de passepartout - DOS AVEC CHEVALET (Largeur 15mm Profondeur 30mm)</v>
      </c>
      <c r="AF54" s="39" t="str">
        <f t="shared" si="1"/>
        <v>EVA  20*30 BLANC VERRE PAS DE REHAUSSE - CADRES CLASSIQUES - Pas de passepartout - DOS AVEC CHEVALET (Largeur 15mm Profondeur 30mm)</v>
      </c>
      <c r="AG54" s="53">
        <f t="shared" si="10"/>
        <v>8.963909426</v>
      </c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167.0</v>
      </c>
      <c r="B55" s="40" t="s">
        <v>116</v>
      </c>
      <c r="C55" s="41" t="s">
        <v>72</v>
      </c>
      <c r="D55" s="42" t="s">
        <v>133</v>
      </c>
      <c r="E55" s="43">
        <v>345707.0</v>
      </c>
      <c r="F55" s="44" t="s">
        <v>133</v>
      </c>
      <c r="G55" s="45">
        <v>5.0</v>
      </c>
      <c r="H55" s="54">
        <v>6.848967833234439</v>
      </c>
      <c r="I55" s="47" t="s">
        <v>39</v>
      </c>
      <c r="J55" s="39" t="str">
        <f t="shared" si="2"/>
        <v>072109 - CARLA</v>
      </c>
      <c r="K55" s="47">
        <f t="shared" si="3"/>
        <v>12.7385</v>
      </c>
      <c r="L55" s="48">
        <v>6.98</v>
      </c>
      <c r="M55" s="49">
        <f t="shared" si="4"/>
        <v>12.7385</v>
      </c>
      <c r="N55" s="39" t="s">
        <v>118</v>
      </c>
      <c r="O55" s="39" t="s">
        <v>41</v>
      </c>
      <c r="P55" s="39" t="s">
        <v>42</v>
      </c>
      <c r="Q55" s="47" t="str">
        <f t="shared" si="5"/>
        <v>20*50</v>
      </c>
      <c r="R55" s="50">
        <v>1.0</v>
      </c>
      <c r="S55" s="51">
        <v>0.0</v>
      </c>
      <c r="T55" s="51">
        <v>0.0</v>
      </c>
      <c r="U55" s="51">
        <v>0.0</v>
      </c>
      <c r="V55" s="39" t="s">
        <v>119</v>
      </c>
      <c r="W55" s="47" t="str">
        <f t="shared" si="6"/>
        <v>BLANC - 20*50 - PAS DE REHAUSSE - (Largeur 15mm Profondeur 30mm)</v>
      </c>
      <c r="X55" s="50">
        <v>0.0</v>
      </c>
      <c r="Y55" s="52" t="s">
        <v>44</v>
      </c>
      <c r="Z55" s="47" t="str">
        <f t="shared" si="7"/>
        <v>CARLA BLANC 20*50 VERRE</v>
      </c>
      <c r="AA55" s="39" t="s">
        <v>45</v>
      </c>
      <c r="AB55" s="39" t="s">
        <v>46</v>
      </c>
      <c r="AC55" s="47" t="str">
        <f t="shared" si="8"/>
        <v>CARLA BLANC 20*50 VERRE</v>
      </c>
      <c r="AD55" s="39" t="s">
        <v>47</v>
      </c>
      <c r="AE55" s="39" t="str">
        <f t="shared" si="9"/>
        <v>EVA  20*50 BLANC VERRE PAS DE REHAUSSE - CADRES CLASSIQUES - Pas de passepartout - Dos classique sans chevalet (Largeur 15mm Profondeur 30mm)</v>
      </c>
      <c r="AF55" s="39" t="str">
        <f t="shared" si="1"/>
        <v>EVA  20*50 BLANC VERRE PAS DE REHAUSSE - CADRES CLASSIQUES - Pas de passepartout - Dos classique sans chevalet (Largeur 15mm Profondeur 30mm)</v>
      </c>
      <c r="AG55" s="53">
        <f t="shared" si="10"/>
        <v>12.3281421</v>
      </c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168.0</v>
      </c>
      <c r="B56" s="40" t="s">
        <v>116</v>
      </c>
      <c r="C56" s="41" t="s">
        <v>74</v>
      </c>
      <c r="D56" s="42" t="s">
        <v>134</v>
      </c>
      <c r="E56" s="43">
        <v>345707.0</v>
      </c>
      <c r="F56" s="44" t="s">
        <v>134</v>
      </c>
      <c r="G56" s="45">
        <v>1.0</v>
      </c>
      <c r="H56" s="54">
        <v>7.783476909223336</v>
      </c>
      <c r="I56" s="47" t="s">
        <v>39</v>
      </c>
      <c r="J56" s="39" t="str">
        <f t="shared" si="2"/>
        <v>072110 - CARLA</v>
      </c>
      <c r="K56" s="47">
        <f t="shared" si="3"/>
        <v>14.47225</v>
      </c>
      <c r="L56" s="48">
        <v>7.93</v>
      </c>
      <c r="M56" s="49">
        <f t="shared" si="4"/>
        <v>14.47225</v>
      </c>
      <c r="N56" s="39" t="s">
        <v>118</v>
      </c>
      <c r="O56" s="39" t="s">
        <v>41</v>
      </c>
      <c r="P56" s="39" t="s">
        <v>42</v>
      </c>
      <c r="Q56" s="47" t="str">
        <f t="shared" si="5"/>
        <v>20*60</v>
      </c>
      <c r="R56" s="50">
        <v>1.0</v>
      </c>
      <c r="S56" s="51">
        <v>0.0</v>
      </c>
      <c r="T56" s="51">
        <v>0.0</v>
      </c>
      <c r="U56" s="51">
        <v>0.0</v>
      </c>
      <c r="V56" s="39" t="s">
        <v>119</v>
      </c>
      <c r="W56" s="47" t="str">
        <f t="shared" si="6"/>
        <v>BLANC - 20*60 - PAS DE REHAUSSE - (Largeur 15mm Profondeur 30mm)</v>
      </c>
      <c r="X56" s="50">
        <v>0.0</v>
      </c>
      <c r="Y56" s="52" t="s">
        <v>44</v>
      </c>
      <c r="Z56" s="47" t="str">
        <f t="shared" si="7"/>
        <v>CARLA BLANC 20*60 VERRE</v>
      </c>
      <c r="AA56" s="39" t="s">
        <v>45</v>
      </c>
      <c r="AB56" s="39" t="s">
        <v>46</v>
      </c>
      <c r="AC56" s="47" t="str">
        <f t="shared" si="8"/>
        <v>CARLA BLANC 20*60 VERRE</v>
      </c>
      <c r="AD56" s="39" t="s">
        <v>47</v>
      </c>
      <c r="AE56" s="39" t="str">
        <f t="shared" si="9"/>
        <v>EVA  20*60 BLANC VERRE PAS DE REHAUSSE - CADRES CLASSIQUES - Pas de passepartout - Dos classique sans chevalet (Largeur 15mm Profondeur 30mm)</v>
      </c>
      <c r="AF56" s="39" t="str">
        <f t="shared" si="1"/>
        <v>EVA  20*60 BLANC VERRE PAS DE REHAUSSE - CADRES CLASSIQUES - Pas de passepartout - Dos classique sans chevalet (Largeur 15mm Profondeur 30mm)</v>
      </c>
      <c r="AG56" s="53">
        <f t="shared" si="10"/>
        <v>14.01025844</v>
      </c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169.0</v>
      </c>
      <c r="B57" s="40" t="s">
        <v>116</v>
      </c>
      <c r="C57" s="41" t="s">
        <v>76</v>
      </c>
      <c r="D57" s="42" t="s">
        <v>135</v>
      </c>
      <c r="E57" s="43">
        <v>345707.0</v>
      </c>
      <c r="F57" s="44" t="s">
        <v>135</v>
      </c>
      <c r="G57" s="45">
        <v>8.0</v>
      </c>
      <c r="H57" s="54">
        <v>5.058087755926166</v>
      </c>
      <c r="I57" s="47" t="s">
        <v>39</v>
      </c>
      <c r="J57" s="39" t="str">
        <f t="shared" si="2"/>
        <v>072111 - CARLA</v>
      </c>
      <c r="K57" s="47">
        <f t="shared" si="3"/>
        <v>9.39875</v>
      </c>
      <c r="L57" s="48">
        <v>5.15</v>
      </c>
      <c r="M57" s="49">
        <f t="shared" si="4"/>
        <v>9.39875</v>
      </c>
      <c r="N57" s="39" t="s">
        <v>118</v>
      </c>
      <c r="O57" s="39" t="s">
        <v>41</v>
      </c>
      <c r="P57" s="39" t="s">
        <v>42</v>
      </c>
      <c r="Q57" s="47" t="str">
        <f t="shared" si="5"/>
        <v>21*29,7</v>
      </c>
      <c r="R57" s="50">
        <v>1.0</v>
      </c>
      <c r="S57" s="51">
        <v>0.0</v>
      </c>
      <c r="T57" s="51">
        <v>0.0</v>
      </c>
      <c r="U57" s="51">
        <v>0.0</v>
      </c>
      <c r="V57" s="39" t="s">
        <v>119</v>
      </c>
      <c r="W57" s="47" t="str">
        <f t="shared" si="6"/>
        <v>BLANC - 21*29,7 - PAS DE REHAUSSE - (Largeur 15mm Profondeur 30mm)</v>
      </c>
      <c r="X57" s="50">
        <v>0.0</v>
      </c>
      <c r="Y57" s="52" t="s">
        <v>44</v>
      </c>
      <c r="Z57" s="47" t="str">
        <f t="shared" si="7"/>
        <v>CARLA BLANC 21*29,7 VERRE</v>
      </c>
      <c r="AA57" s="39" t="s">
        <v>45</v>
      </c>
      <c r="AB57" s="39" t="s">
        <v>46</v>
      </c>
      <c r="AC57" s="47" t="str">
        <f t="shared" si="8"/>
        <v>CARLA BLANC 21*29,7 VERRE</v>
      </c>
      <c r="AD57" s="39" t="s">
        <v>47</v>
      </c>
      <c r="AE57" s="39" t="str">
        <f t="shared" si="9"/>
        <v>EVA  21*29,7 BLANC VERRE PAS DE REHAUSSE - CADRES CLASSIQUES - Pas de passepartout - Dos classique sans chevalet (Largeur 15mm Profondeur 30mm)</v>
      </c>
      <c r="AF57" s="39" t="str">
        <f t="shared" si="1"/>
        <v>EVA  21*29,7 BLANC VERRE PAS DE REHAUSSE - CADRES CLASSIQUES - Pas de passepartout - Dos classique sans chevalet (Largeur 15mm Profondeur 30mm)</v>
      </c>
      <c r="AG57" s="53">
        <f t="shared" si="10"/>
        <v>9.104557961</v>
      </c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170.0</v>
      </c>
      <c r="B58" s="40" t="s">
        <v>116</v>
      </c>
      <c r="C58" s="41" t="s">
        <v>78</v>
      </c>
      <c r="D58" s="42" t="s">
        <v>136</v>
      </c>
      <c r="E58" s="43">
        <v>345707.0</v>
      </c>
      <c r="F58" s="44" t="s">
        <v>136</v>
      </c>
      <c r="G58" s="45">
        <v>5.0</v>
      </c>
      <c r="H58" s="54">
        <v>7.247363807734969</v>
      </c>
      <c r="I58" s="47" t="s">
        <v>39</v>
      </c>
      <c r="J58" s="39" t="str">
        <f t="shared" si="2"/>
        <v>072112 - CARLA</v>
      </c>
      <c r="K58" s="47">
        <f t="shared" si="3"/>
        <v>13.48675</v>
      </c>
      <c r="L58" s="48">
        <v>7.39</v>
      </c>
      <c r="M58" s="49">
        <f t="shared" si="4"/>
        <v>13.48675</v>
      </c>
      <c r="N58" s="39" t="s">
        <v>118</v>
      </c>
      <c r="O58" s="39" t="s">
        <v>41</v>
      </c>
      <c r="P58" s="39" t="s">
        <v>42</v>
      </c>
      <c r="Q58" s="47" t="str">
        <f t="shared" si="5"/>
        <v>23*50</v>
      </c>
      <c r="R58" s="50">
        <v>1.0</v>
      </c>
      <c r="S58" s="51">
        <v>0.0</v>
      </c>
      <c r="T58" s="51">
        <v>0.0</v>
      </c>
      <c r="U58" s="51">
        <v>0.0</v>
      </c>
      <c r="V58" s="39" t="s">
        <v>119</v>
      </c>
      <c r="W58" s="47" t="str">
        <f t="shared" si="6"/>
        <v>BLANC - 23*50 - PAS DE REHAUSSE - (Largeur 15mm Profondeur 30mm)</v>
      </c>
      <c r="X58" s="50">
        <v>0.0</v>
      </c>
      <c r="Y58" s="52" t="s">
        <v>44</v>
      </c>
      <c r="Z58" s="47" t="str">
        <f t="shared" si="7"/>
        <v>CARLA BLANC 23*50 VERRE</v>
      </c>
      <c r="AA58" s="39" t="s">
        <v>45</v>
      </c>
      <c r="AB58" s="39" t="s">
        <v>46</v>
      </c>
      <c r="AC58" s="47" t="str">
        <f t="shared" si="8"/>
        <v>CARLA BLANC 23*50 VERRE</v>
      </c>
      <c r="AD58" s="39" t="s">
        <v>47</v>
      </c>
      <c r="AE58" s="39" t="str">
        <f t="shared" si="9"/>
        <v>EVA  23*50 BLANC VERRE PAS DE REHAUSSE - CADRES CLASSIQUES - Pas de passepartout - Dos classique sans chevalet (Largeur 15mm Profondeur 30mm)</v>
      </c>
      <c r="AF58" s="39" t="str">
        <f t="shared" si="1"/>
        <v>EVA  23*50 BLANC VERRE PAS DE REHAUSSE - CADRES CLASSIQUES - Pas de passepartout - Dos classique sans chevalet (Largeur 15mm Profondeur 30mm)</v>
      </c>
      <c r="AG58" s="53">
        <f t="shared" si="10"/>
        <v>13.04525485</v>
      </c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171.0</v>
      </c>
      <c r="B59" s="40" t="s">
        <v>116</v>
      </c>
      <c r="C59" s="41" t="s">
        <v>80</v>
      </c>
      <c r="D59" s="42" t="s">
        <v>137</v>
      </c>
      <c r="E59" s="43">
        <v>345707.0</v>
      </c>
      <c r="F59" s="44" t="s">
        <v>137</v>
      </c>
      <c r="G59" s="45">
        <v>2.0</v>
      </c>
      <c r="H59" s="54">
        <v>5.406216979076135</v>
      </c>
      <c r="I59" s="47" t="s">
        <v>39</v>
      </c>
      <c r="J59" s="39" t="str">
        <f t="shared" si="2"/>
        <v>072113 - CARLA</v>
      </c>
      <c r="K59" s="47">
        <f t="shared" si="3"/>
        <v>10.05575</v>
      </c>
      <c r="L59" s="48">
        <v>5.51</v>
      </c>
      <c r="M59" s="49">
        <f t="shared" si="4"/>
        <v>10.05575</v>
      </c>
      <c r="N59" s="39" t="s">
        <v>118</v>
      </c>
      <c r="O59" s="39" t="s">
        <v>41</v>
      </c>
      <c r="P59" s="39" t="s">
        <v>42</v>
      </c>
      <c r="Q59" s="47" t="str">
        <f t="shared" si="5"/>
        <v>24*30</v>
      </c>
      <c r="R59" s="50">
        <v>1.0</v>
      </c>
      <c r="S59" s="51">
        <v>0.0</v>
      </c>
      <c r="T59" s="51">
        <v>0.0</v>
      </c>
      <c r="U59" s="51">
        <v>0.0</v>
      </c>
      <c r="V59" s="39" t="s">
        <v>119</v>
      </c>
      <c r="W59" s="47" t="str">
        <f t="shared" si="6"/>
        <v>BLANC - 24*30 - PAS DE REHAUSSE - (Largeur 15mm Profondeur 30mm)</v>
      </c>
      <c r="X59" s="50">
        <v>0.0</v>
      </c>
      <c r="Y59" s="52" t="s">
        <v>44</v>
      </c>
      <c r="Z59" s="47" t="str">
        <f t="shared" si="7"/>
        <v>CARLA BLANC 24*30 VERRE</v>
      </c>
      <c r="AA59" s="39" t="s">
        <v>45</v>
      </c>
      <c r="AB59" s="39" t="s">
        <v>46</v>
      </c>
      <c r="AC59" s="47" t="str">
        <f t="shared" si="8"/>
        <v>CARLA BLANC 24*30 VERRE</v>
      </c>
      <c r="AD59" s="39" t="s">
        <v>47</v>
      </c>
      <c r="AE59" s="39" t="str">
        <f t="shared" si="9"/>
        <v>EVA  24*30 BLANC VERRE PAS DE REHAUSSE - CADRES CLASSIQUES - Pas de passepartout - Dos classique sans chevalet (Largeur 15mm Profondeur 30mm)</v>
      </c>
      <c r="AF59" s="39" t="str">
        <f t="shared" si="1"/>
        <v>EVA  24*30 BLANC VERRE PAS DE REHAUSSE - CADRES CLASSIQUES - Pas de passepartout - Dos classique sans chevalet (Largeur 15mm Profondeur 30mm)</v>
      </c>
      <c r="AG59" s="53">
        <f t="shared" si="10"/>
        <v>9.731190562</v>
      </c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172.0</v>
      </c>
      <c r="B60" s="40" t="s">
        <v>116</v>
      </c>
      <c r="C60" s="41" t="s">
        <v>82</v>
      </c>
      <c r="D60" s="42" t="s">
        <v>138</v>
      </c>
      <c r="E60" s="43">
        <v>345707.0</v>
      </c>
      <c r="F60" s="44" t="s">
        <v>138</v>
      </c>
      <c r="G60" s="45">
        <v>9.0</v>
      </c>
      <c r="H60" s="54">
        <v>7.5129611240686565</v>
      </c>
      <c r="I60" s="47" t="s">
        <v>39</v>
      </c>
      <c r="J60" s="39" t="str">
        <f t="shared" si="2"/>
        <v>072114 - CARLA</v>
      </c>
      <c r="K60" s="47">
        <f t="shared" si="3"/>
        <v>13.9795</v>
      </c>
      <c r="L60" s="48">
        <v>7.66</v>
      </c>
      <c r="M60" s="49">
        <f t="shared" si="4"/>
        <v>13.9795</v>
      </c>
      <c r="N60" s="39" t="s">
        <v>118</v>
      </c>
      <c r="O60" s="39" t="s">
        <v>41</v>
      </c>
      <c r="P60" s="39" t="s">
        <v>42</v>
      </c>
      <c r="Q60" s="47" t="str">
        <f t="shared" si="5"/>
        <v>25*50</v>
      </c>
      <c r="R60" s="50">
        <v>1.0</v>
      </c>
      <c r="S60" s="51">
        <v>0.0</v>
      </c>
      <c r="T60" s="51">
        <v>0.0</v>
      </c>
      <c r="U60" s="51">
        <v>0.0</v>
      </c>
      <c r="V60" s="39" t="s">
        <v>119</v>
      </c>
      <c r="W60" s="47" t="str">
        <f t="shared" si="6"/>
        <v>BLANC - 25*50 - PAS DE REHAUSSE - (Largeur 15mm Profondeur 30mm)</v>
      </c>
      <c r="X60" s="50">
        <v>0.0</v>
      </c>
      <c r="Y60" s="52" t="s">
        <v>44</v>
      </c>
      <c r="Z60" s="47" t="str">
        <f t="shared" si="7"/>
        <v>CARLA BLANC 25*50 VERRE</v>
      </c>
      <c r="AA60" s="39" t="s">
        <v>45</v>
      </c>
      <c r="AB60" s="39" t="s">
        <v>46</v>
      </c>
      <c r="AC60" s="47" t="str">
        <f t="shared" si="8"/>
        <v>CARLA BLANC 25*50 VERRE</v>
      </c>
      <c r="AD60" s="39" t="s">
        <v>47</v>
      </c>
      <c r="AE60" s="39" t="str">
        <f t="shared" si="9"/>
        <v>EVA  25*50 BLANC VERRE PAS DE REHAUSSE - CADRES CLASSIQUES - Pas de passepartout - Dos classique sans chevalet (Largeur 15mm Profondeur 30mm)</v>
      </c>
      <c r="AF60" s="39" t="str">
        <f t="shared" si="1"/>
        <v>EVA  25*50 BLANC VERRE PAS DE REHAUSSE - CADRES CLASSIQUES - Pas de passepartout - Dos classique sans chevalet (Largeur 15mm Profondeur 30mm)</v>
      </c>
      <c r="AG60" s="53">
        <f t="shared" si="10"/>
        <v>13.52333002</v>
      </c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173.0</v>
      </c>
      <c r="B61" s="40" t="s">
        <v>116</v>
      </c>
      <c r="C61" s="41" t="s">
        <v>84</v>
      </c>
      <c r="D61" s="42" t="s">
        <v>139</v>
      </c>
      <c r="E61" s="43">
        <v>345707.0</v>
      </c>
      <c r="F61" s="44" t="s">
        <v>139</v>
      </c>
      <c r="G61" s="45">
        <v>6.0</v>
      </c>
      <c r="H61" s="54">
        <v>7.287728041859264</v>
      </c>
      <c r="I61" s="47" t="s">
        <v>39</v>
      </c>
      <c r="J61" s="39" t="str">
        <f t="shared" si="2"/>
        <v>072115 - CARLA</v>
      </c>
      <c r="K61" s="47">
        <f t="shared" si="3"/>
        <v>13.55975</v>
      </c>
      <c r="L61" s="48">
        <v>7.43</v>
      </c>
      <c r="M61" s="49">
        <f t="shared" si="4"/>
        <v>13.55975</v>
      </c>
      <c r="N61" s="39" t="s">
        <v>118</v>
      </c>
      <c r="O61" s="39" t="s">
        <v>41</v>
      </c>
      <c r="P61" s="39" t="s">
        <v>42</v>
      </c>
      <c r="Q61" s="47" t="str">
        <f t="shared" si="5"/>
        <v>29,7*42</v>
      </c>
      <c r="R61" s="50">
        <v>1.0</v>
      </c>
      <c r="S61" s="51">
        <v>0.0</v>
      </c>
      <c r="T61" s="51">
        <v>0.0</v>
      </c>
      <c r="U61" s="51">
        <v>0.0</v>
      </c>
      <c r="V61" s="39" t="s">
        <v>119</v>
      </c>
      <c r="W61" s="47" t="str">
        <f t="shared" si="6"/>
        <v>BLANC - 29,7*42 - PAS DE REHAUSSE - (Largeur 15mm Profondeur 30mm)</v>
      </c>
      <c r="X61" s="50">
        <v>0.0</v>
      </c>
      <c r="Y61" s="52" t="s">
        <v>44</v>
      </c>
      <c r="Z61" s="47" t="str">
        <f t="shared" si="7"/>
        <v>CARLA BLANC 29,7*42 VERRE</v>
      </c>
      <c r="AA61" s="39" t="s">
        <v>45</v>
      </c>
      <c r="AB61" s="39" t="s">
        <v>46</v>
      </c>
      <c r="AC61" s="47" t="str">
        <f t="shared" si="8"/>
        <v>CARLA BLANC 29,7*42 VERRE</v>
      </c>
      <c r="AD61" s="39" t="s">
        <v>47</v>
      </c>
      <c r="AE61" s="39" t="str">
        <f t="shared" si="9"/>
        <v>EVA  29,7*42 BLANC VERRE PAS DE REHAUSSE - CADRES CLASSIQUES - Pas de passepartout - Dos classique sans chevalet (Largeur 15mm Profondeur 30mm)</v>
      </c>
      <c r="AF61" s="39" t="str">
        <f t="shared" si="1"/>
        <v>EVA  29,7*42 BLANC VERRE PAS DE REHAUSSE - CADRES CLASSIQUES - Pas de passepartout - Dos classique sans chevalet (Largeur 15mm Profondeur 30mm)</v>
      </c>
      <c r="AG61" s="53">
        <f t="shared" si="10"/>
        <v>13.11791048</v>
      </c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174.0</v>
      </c>
      <c r="B62" s="40" t="s">
        <v>116</v>
      </c>
      <c r="C62" s="41" t="s">
        <v>86</v>
      </c>
      <c r="D62" s="42" t="s">
        <v>140</v>
      </c>
      <c r="E62" s="43">
        <v>345707.0</v>
      </c>
      <c r="F62" s="44" t="s">
        <v>140</v>
      </c>
      <c r="G62" s="45">
        <v>3.0</v>
      </c>
      <c r="H62" s="54">
        <v>6.045617925805384</v>
      </c>
      <c r="I62" s="47" t="s">
        <v>39</v>
      </c>
      <c r="J62" s="39" t="str">
        <f t="shared" si="2"/>
        <v>072116 - CARLA</v>
      </c>
      <c r="K62" s="47">
        <f t="shared" si="3"/>
        <v>11.242</v>
      </c>
      <c r="L62" s="48">
        <v>6.16</v>
      </c>
      <c r="M62" s="49">
        <f t="shared" si="4"/>
        <v>11.242</v>
      </c>
      <c r="N62" s="39" t="s">
        <v>118</v>
      </c>
      <c r="O62" s="39" t="s">
        <v>41</v>
      </c>
      <c r="P62" s="39" t="s">
        <v>42</v>
      </c>
      <c r="Q62" s="47" t="str">
        <f t="shared" si="5"/>
        <v>30*30</v>
      </c>
      <c r="R62" s="50">
        <v>1.0</v>
      </c>
      <c r="S62" s="51">
        <v>0.0</v>
      </c>
      <c r="T62" s="51">
        <v>0.0</v>
      </c>
      <c r="U62" s="51">
        <v>0.0</v>
      </c>
      <c r="V62" s="39" t="s">
        <v>119</v>
      </c>
      <c r="W62" s="47" t="str">
        <f t="shared" si="6"/>
        <v>BLANC - 30*30 - PAS DE REHAUSSE - (Largeur 15mm Profondeur 30mm)</v>
      </c>
      <c r="X62" s="50">
        <v>0.0</v>
      </c>
      <c r="Y62" s="52" t="s">
        <v>44</v>
      </c>
      <c r="Z62" s="47" t="str">
        <f t="shared" si="7"/>
        <v>CARLA BLANC 30*30 VERRE</v>
      </c>
      <c r="AA62" s="39" t="s">
        <v>45</v>
      </c>
      <c r="AB62" s="39" t="s">
        <v>46</v>
      </c>
      <c r="AC62" s="47" t="str">
        <f t="shared" si="8"/>
        <v>CARLA BLANC 30*30 VERRE</v>
      </c>
      <c r="AD62" s="39" t="s">
        <v>47</v>
      </c>
      <c r="AE62" s="39" t="str">
        <f t="shared" si="9"/>
        <v>EVA  30*30 BLANC VERRE PAS DE REHAUSSE - CADRES CLASSIQUES - Pas de passepartout - Dos classique sans chevalet (Largeur 15mm Profondeur 30mm)</v>
      </c>
      <c r="AF62" s="39" t="str">
        <f t="shared" si="1"/>
        <v>EVA  30*30 BLANC VERRE PAS DE REHAUSSE - CADRES CLASSIQUES - Pas de passepartout - Dos classique sans chevalet (Largeur 15mm Profondeur 30mm)</v>
      </c>
      <c r="AG62" s="53">
        <f t="shared" si="10"/>
        <v>10.88211227</v>
      </c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175.0</v>
      </c>
      <c r="B63" s="40" t="s">
        <v>116</v>
      </c>
      <c r="C63" s="41" t="s">
        <v>88</v>
      </c>
      <c r="D63" s="42" t="s">
        <v>141</v>
      </c>
      <c r="E63" s="43">
        <v>345707.0</v>
      </c>
      <c r="F63" s="44" t="s">
        <v>141</v>
      </c>
      <c r="G63" s="45">
        <v>0.0</v>
      </c>
      <c r="H63" s="54">
        <v>7.111286170354129</v>
      </c>
      <c r="I63" s="47" t="s">
        <v>39</v>
      </c>
      <c r="J63" s="39" t="str">
        <f t="shared" si="2"/>
        <v>072117 - CARLA</v>
      </c>
      <c r="K63" s="47">
        <f t="shared" si="3"/>
        <v>13.23125</v>
      </c>
      <c r="L63" s="48">
        <v>7.25</v>
      </c>
      <c r="M63" s="49">
        <f t="shared" si="4"/>
        <v>13.23125</v>
      </c>
      <c r="N63" s="39" t="s">
        <v>118</v>
      </c>
      <c r="O63" s="39" t="s">
        <v>41</v>
      </c>
      <c r="P63" s="39" t="s">
        <v>42</v>
      </c>
      <c r="Q63" s="47" t="str">
        <f t="shared" si="5"/>
        <v>30*40</v>
      </c>
      <c r="R63" s="50">
        <v>1.0</v>
      </c>
      <c r="S63" s="51">
        <v>0.0</v>
      </c>
      <c r="T63" s="51">
        <v>0.0</v>
      </c>
      <c r="U63" s="51">
        <v>0.0</v>
      </c>
      <c r="V63" s="39" t="s">
        <v>119</v>
      </c>
      <c r="W63" s="47" t="str">
        <f t="shared" si="6"/>
        <v>BLANC - 30*40 - PAS DE REHAUSSE - (Largeur 15mm Profondeur 30mm)</v>
      </c>
      <c r="X63" s="50">
        <v>0.0</v>
      </c>
      <c r="Y63" s="52" t="s">
        <v>44</v>
      </c>
      <c r="Z63" s="47" t="str">
        <f t="shared" si="7"/>
        <v>CARLA BLANC 30*40 VERRE</v>
      </c>
      <c r="AA63" s="39" t="s">
        <v>45</v>
      </c>
      <c r="AB63" s="39" t="s">
        <v>46</v>
      </c>
      <c r="AC63" s="47" t="str">
        <f t="shared" si="8"/>
        <v>CARLA BLANC 30*40 VERRE</v>
      </c>
      <c r="AD63" s="39" t="s">
        <v>47</v>
      </c>
      <c r="AE63" s="39" t="str">
        <f t="shared" si="9"/>
        <v>EVA  30*40 BLANC VERRE PAS DE REHAUSSE - CADRES CLASSIQUES - Pas de passepartout - Dos classique sans chevalet (Largeur 15mm Profondeur 30mm)</v>
      </c>
      <c r="AF63" s="39" t="str">
        <f t="shared" si="1"/>
        <v>EVA  30*40 BLANC VERRE PAS DE REHAUSSE - CADRES CLASSIQUES - Pas de passepartout - Dos classique sans chevalet (Largeur 15mm Profondeur 30mm)</v>
      </c>
      <c r="AG63" s="53">
        <f t="shared" si="10"/>
        <v>12.80031511</v>
      </c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176.0</v>
      </c>
      <c r="B64" s="40" t="s">
        <v>116</v>
      </c>
      <c r="C64" s="41" t="s">
        <v>90</v>
      </c>
      <c r="D64" s="42" t="s">
        <v>142</v>
      </c>
      <c r="E64" s="43">
        <v>345707.0</v>
      </c>
      <c r="F64" s="44" t="s">
        <v>142</v>
      </c>
      <c r="G64" s="45">
        <v>7.0</v>
      </c>
      <c r="H64" s="54">
        <v>7.644120292628502</v>
      </c>
      <c r="I64" s="47" t="s">
        <v>39</v>
      </c>
      <c r="J64" s="39" t="str">
        <f t="shared" si="2"/>
        <v>072118 - CARLA</v>
      </c>
      <c r="K64" s="47">
        <f t="shared" si="3"/>
        <v>14.21675</v>
      </c>
      <c r="L64" s="48">
        <v>7.79</v>
      </c>
      <c r="M64" s="49">
        <f t="shared" si="4"/>
        <v>14.21675</v>
      </c>
      <c r="N64" s="39" t="s">
        <v>118</v>
      </c>
      <c r="O64" s="39" t="s">
        <v>41</v>
      </c>
      <c r="P64" s="39" t="s">
        <v>42</v>
      </c>
      <c r="Q64" s="47" t="str">
        <f t="shared" si="5"/>
        <v>30*45</v>
      </c>
      <c r="R64" s="50">
        <v>1.0</v>
      </c>
      <c r="S64" s="51">
        <v>0.0</v>
      </c>
      <c r="T64" s="51">
        <v>0.0</v>
      </c>
      <c r="U64" s="51">
        <v>0.0</v>
      </c>
      <c r="V64" s="39" t="s">
        <v>119</v>
      </c>
      <c r="W64" s="47" t="str">
        <f t="shared" si="6"/>
        <v>BLANC - 30*45 - PAS DE REHAUSSE - (Largeur 15mm Profondeur 30mm)</v>
      </c>
      <c r="X64" s="50">
        <v>0.0</v>
      </c>
      <c r="Y64" s="52" t="s">
        <v>44</v>
      </c>
      <c r="Z64" s="47" t="str">
        <f t="shared" si="7"/>
        <v>CARLA BLANC 30*45 VERRE</v>
      </c>
      <c r="AA64" s="39" t="s">
        <v>45</v>
      </c>
      <c r="AB64" s="39" t="s">
        <v>46</v>
      </c>
      <c r="AC64" s="47" t="str">
        <f t="shared" si="8"/>
        <v>CARLA BLANC 30*45 VERRE</v>
      </c>
      <c r="AD64" s="39" t="s">
        <v>47</v>
      </c>
      <c r="AE64" s="39" t="str">
        <f t="shared" si="9"/>
        <v>EVA  30*45 BLANC VERRE PAS DE REHAUSSE - CADRES CLASSIQUES - Pas de passepartout - Dos classique sans chevalet (Largeur 15mm Profondeur 30mm)</v>
      </c>
      <c r="AF64" s="39" t="str">
        <f t="shared" si="1"/>
        <v>EVA  30*45 BLANC VERRE PAS DE REHAUSSE - CADRES CLASSIQUES - Pas de passepartout - Dos classique sans chevalet (Largeur 15mm Profondeur 30mm)</v>
      </c>
      <c r="AG64" s="53">
        <f t="shared" si="10"/>
        <v>13.75941653</v>
      </c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177.0</v>
      </c>
      <c r="B65" s="40" t="s">
        <v>116</v>
      </c>
      <c r="C65" s="41" t="s">
        <v>92</v>
      </c>
      <c r="D65" s="42" t="s">
        <v>143</v>
      </c>
      <c r="E65" s="43">
        <v>345707.0</v>
      </c>
      <c r="F65" s="44" t="s">
        <v>143</v>
      </c>
      <c r="G65" s="45">
        <v>4.0</v>
      </c>
      <c r="H65" s="54">
        <v>13.547922367428555</v>
      </c>
      <c r="I65" s="47" t="s">
        <v>39</v>
      </c>
      <c r="J65" s="39" t="str">
        <f t="shared" si="2"/>
        <v>072119 - CARLA</v>
      </c>
      <c r="K65" s="47">
        <f t="shared" si="3"/>
        <v>25.20325</v>
      </c>
      <c r="L65" s="48">
        <v>13.81</v>
      </c>
      <c r="M65" s="49">
        <f t="shared" si="4"/>
        <v>25.20325</v>
      </c>
      <c r="N65" s="39" t="s">
        <v>118</v>
      </c>
      <c r="O65" s="39" t="s">
        <v>41</v>
      </c>
      <c r="P65" s="39" t="s">
        <v>42</v>
      </c>
      <c r="Q65" s="47" t="str">
        <f t="shared" si="5"/>
        <v>33*95</v>
      </c>
      <c r="R65" s="50">
        <v>1.0</v>
      </c>
      <c r="S65" s="51">
        <v>0.0</v>
      </c>
      <c r="T65" s="51">
        <v>0.0</v>
      </c>
      <c r="U65" s="51">
        <v>0.0</v>
      </c>
      <c r="V65" s="39" t="s">
        <v>119</v>
      </c>
      <c r="W65" s="47" t="str">
        <f t="shared" si="6"/>
        <v>BLANC - 33*95 - PAS DE REHAUSSE - (Largeur 15mm Profondeur 30mm)</v>
      </c>
      <c r="X65" s="50">
        <v>0.0</v>
      </c>
      <c r="Y65" s="52" t="s">
        <v>44</v>
      </c>
      <c r="Z65" s="47" t="str">
        <f t="shared" si="7"/>
        <v>CARLA BLANC 33*95 VERRE</v>
      </c>
      <c r="AA65" s="39" t="s">
        <v>45</v>
      </c>
      <c r="AB65" s="39" t="s">
        <v>46</v>
      </c>
      <c r="AC65" s="47" t="str">
        <f t="shared" si="8"/>
        <v>CARLA BLANC 33*95 VERRE</v>
      </c>
      <c r="AD65" s="39" t="s">
        <v>47</v>
      </c>
      <c r="AE65" s="39" t="str">
        <f t="shared" si="9"/>
        <v>EVA  33*95 BLANC VERRE PAS DE REHAUSSE - CADRES CLASSIQUES - Pas de passepartout - Dos classique sans chevalet (Largeur 15mm Profondeur 30mm)</v>
      </c>
      <c r="AF65" s="39" t="str">
        <f t="shared" si="1"/>
        <v>EVA  33*95 BLANC VERRE PAS DE REHAUSSE - CADRES CLASSIQUES - Pas de passepartout - Dos classique sans chevalet (Largeur 15mm Profondeur 30mm)</v>
      </c>
      <c r="AG65" s="53">
        <f t="shared" si="10"/>
        <v>24.38626026</v>
      </c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178.0</v>
      </c>
      <c r="B66" s="40" t="s">
        <v>116</v>
      </c>
      <c r="C66" s="41" t="s">
        <v>94</v>
      </c>
      <c r="D66" s="42" t="s">
        <v>144</v>
      </c>
      <c r="E66" s="43">
        <v>345707.0</v>
      </c>
      <c r="F66" s="44" t="s">
        <v>144</v>
      </c>
      <c r="G66" s="45">
        <v>0.0</v>
      </c>
      <c r="H66" s="54">
        <v>8.308113583462717</v>
      </c>
      <c r="I66" s="47" t="s">
        <v>39</v>
      </c>
      <c r="J66" s="39" t="str">
        <f t="shared" si="2"/>
        <v>072120 - CARLA</v>
      </c>
      <c r="K66" s="47">
        <f t="shared" si="3"/>
        <v>15.45775</v>
      </c>
      <c r="L66" s="48">
        <v>8.47</v>
      </c>
      <c r="M66" s="49">
        <f t="shared" si="4"/>
        <v>15.45775</v>
      </c>
      <c r="N66" s="39" t="s">
        <v>118</v>
      </c>
      <c r="O66" s="39" t="s">
        <v>41</v>
      </c>
      <c r="P66" s="39" t="s">
        <v>42</v>
      </c>
      <c r="Q66" s="47" t="str">
        <f t="shared" si="5"/>
        <v>40*40</v>
      </c>
      <c r="R66" s="50">
        <v>1.0</v>
      </c>
      <c r="S66" s="51">
        <v>0.0</v>
      </c>
      <c r="T66" s="51">
        <v>0.0</v>
      </c>
      <c r="U66" s="51">
        <v>0.0</v>
      </c>
      <c r="V66" s="39" t="s">
        <v>119</v>
      </c>
      <c r="W66" s="47" t="str">
        <f t="shared" si="6"/>
        <v>BLANC - 40*40 - PAS DE REHAUSSE - (Largeur 15mm Profondeur 30mm)</v>
      </c>
      <c r="X66" s="50">
        <v>0.0</v>
      </c>
      <c r="Y66" s="52" t="s">
        <v>44</v>
      </c>
      <c r="Z66" s="47" t="str">
        <f t="shared" si="7"/>
        <v>CARLA BLANC 40*40 VERRE</v>
      </c>
      <c r="AA66" s="39" t="s">
        <v>45</v>
      </c>
      <c r="AB66" s="39" t="s">
        <v>46</v>
      </c>
      <c r="AC66" s="47" t="str">
        <f t="shared" si="8"/>
        <v>CARLA BLANC 40*40 VERRE</v>
      </c>
      <c r="AD66" s="39" t="s">
        <v>47</v>
      </c>
      <c r="AE66" s="39" t="str">
        <f t="shared" si="9"/>
        <v>EVA  40*40 BLANC VERRE PAS DE REHAUSSE - CADRES CLASSIQUES - Pas de passepartout - Dos classique sans chevalet (Largeur 15mm Profondeur 30mm)</v>
      </c>
      <c r="AF66" s="39" t="str">
        <f t="shared" si="1"/>
        <v>EVA  40*40 BLANC VERRE PAS DE REHAUSSE - CADRES CLASSIQUES - Pas de passepartout - Dos classique sans chevalet (Largeur 15mm Profondeur 30mm)</v>
      </c>
      <c r="AG66" s="53">
        <f t="shared" si="10"/>
        <v>14.95460445</v>
      </c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179.0</v>
      </c>
      <c r="B67" s="40" t="s">
        <v>116</v>
      </c>
      <c r="C67" s="41" t="s">
        <v>96</v>
      </c>
      <c r="D67" s="42" t="s">
        <v>145</v>
      </c>
      <c r="E67" s="43">
        <v>345707.0</v>
      </c>
      <c r="F67" s="44" t="s">
        <v>145</v>
      </c>
      <c r="G67" s="45">
        <v>7.0</v>
      </c>
      <c r="H67" s="54">
        <v>9.504940996571314</v>
      </c>
      <c r="I67" s="47" t="s">
        <v>39</v>
      </c>
      <c r="J67" s="39" t="str">
        <f t="shared" si="2"/>
        <v>072121 - CARLA</v>
      </c>
      <c r="K67" s="47">
        <f t="shared" si="3"/>
        <v>17.68425</v>
      </c>
      <c r="L67" s="48">
        <v>9.69</v>
      </c>
      <c r="M67" s="49">
        <f t="shared" si="4"/>
        <v>17.68425</v>
      </c>
      <c r="N67" s="39" t="s">
        <v>118</v>
      </c>
      <c r="O67" s="39" t="s">
        <v>41</v>
      </c>
      <c r="P67" s="39" t="s">
        <v>42</v>
      </c>
      <c r="Q67" s="47" t="str">
        <f t="shared" si="5"/>
        <v>40*50</v>
      </c>
      <c r="R67" s="50">
        <v>1.0</v>
      </c>
      <c r="S67" s="51">
        <v>0.0</v>
      </c>
      <c r="T67" s="51">
        <v>0.0</v>
      </c>
      <c r="U67" s="51">
        <v>0.0</v>
      </c>
      <c r="V67" s="39" t="s">
        <v>119</v>
      </c>
      <c r="W67" s="47" t="str">
        <f t="shared" si="6"/>
        <v>BLANC - 40*50 - PAS DE REHAUSSE - (Largeur 15mm Profondeur 30mm)</v>
      </c>
      <c r="X67" s="50">
        <v>0.0</v>
      </c>
      <c r="Y67" s="52" t="s">
        <v>44</v>
      </c>
      <c r="Z67" s="47" t="str">
        <f t="shared" si="7"/>
        <v>CARLA BLANC 40*50 VERRE</v>
      </c>
      <c r="AA67" s="39" t="s">
        <v>45</v>
      </c>
      <c r="AB67" s="39" t="s">
        <v>46</v>
      </c>
      <c r="AC67" s="47" t="str">
        <f t="shared" si="8"/>
        <v>CARLA BLANC 40*50 VERRE</v>
      </c>
      <c r="AD67" s="39" t="s">
        <v>47</v>
      </c>
      <c r="AE67" s="39" t="str">
        <f t="shared" si="9"/>
        <v>EVA  40*50 BLANC VERRE PAS DE REHAUSSE - CADRES CLASSIQUES - Pas de passepartout - Dos classique sans chevalet (Largeur 15mm Profondeur 30mm)</v>
      </c>
      <c r="AF67" s="39" t="str">
        <f t="shared" si="1"/>
        <v>EVA  40*50 BLANC VERRE PAS DE REHAUSSE - CADRES CLASSIQUES - Pas de passepartout - Dos classique sans chevalet (Largeur 15mm Profondeur 30mm)</v>
      </c>
      <c r="AG67" s="53">
        <f t="shared" si="10"/>
        <v>17.10889379</v>
      </c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180.0</v>
      </c>
      <c r="B68" s="40" t="s">
        <v>116</v>
      </c>
      <c r="C68" s="41" t="s">
        <v>98</v>
      </c>
      <c r="D68" s="42" t="s">
        <v>146</v>
      </c>
      <c r="E68" s="43">
        <v>345707.0</v>
      </c>
      <c r="F68" s="44" t="s">
        <v>146</v>
      </c>
      <c r="G68" s="45">
        <v>4.0</v>
      </c>
      <c r="H68" s="54">
        <v>10.701768409679904</v>
      </c>
      <c r="I68" s="47" t="s">
        <v>39</v>
      </c>
      <c r="J68" s="39" t="str">
        <f t="shared" si="2"/>
        <v>072122 - CARLA</v>
      </c>
      <c r="K68" s="47">
        <f t="shared" si="3"/>
        <v>19.91075</v>
      </c>
      <c r="L68" s="48">
        <v>10.91</v>
      </c>
      <c r="M68" s="49">
        <f t="shared" si="4"/>
        <v>19.91075</v>
      </c>
      <c r="N68" s="39" t="s">
        <v>118</v>
      </c>
      <c r="O68" s="39" t="s">
        <v>41</v>
      </c>
      <c r="P68" s="39" t="s">
        <v>42</v>
      </c>
      <c r="Q68" s="47" t="str">
        <f t="shared" si="5"/>
        <v>40*60</v>
      </c>
      <c r="R68" s="50">
        <v>1.0</v>
      </c>
      <c r="S68" s="51">
        <v>0.0</v>
      </c>
      <c r="T68" s="51">
        <v>0.0</v>
      </c>
      <c r="U68" s="51">
        <v>0.0</v>
      </c>
      <c r="V68" s="39" t="s">
        <v>119</v>
      </c>
      <c r="W68" s="47" t="str">
        <f t="shared" si="6"/>
        <v>BLANC - 40*60 - PAS DE REHAUSSE - (Largeur 15mm Profondeur 30mm)</v>
      </c>
      <c r="X68" s="50">
        <v>0.0</v>
      </c>
      <c r="Y68" s="52" t="s">
        <v>44</v>
      </c>
      <c r="Z68" s="47" t="str">
        <f t="shared" si="7"/>
        <v>CARLA BLANC 40*60 VERRE</v>
      </c>
      <c r="AA68" s="39" t="s">
        <v>45</v>
      </c>
      <c r="AB68" s="39" t="s">
        <v>46</v>
      </c>
      <c r="AC68" s="47" t="str">
        <f t="shared" si="8"/>
        <v>CARLA BLANC 40*60 VERRE</v>
      </c>
      <c r="AD68" s="39" t="s">
        <v>47</v>
      </c>
      <c r="AE68" s="39" t="str">
        <f t="shared" si="9"/>
        <v>EVA  40*60 BLANC VERRE PAS DE REHAUSSE - CADRES CLASSIQUES - Pas de passepartout - Dos classique sans chevalet (Largeur 15mm Profondeur 30mm)</v>
      </c>
      <c r="AF68" s="39" t="str">
        <f t="shared" si="1"/>
        <v>EVA  40*60 BLANC VERRE PAS DE REHAUSSE - CADRES CLASSIQUES - Pas de passepartout - Dos classique sans chevalet (Largeur 15mm Profondeur 30mm)</v>
      </c>
      <c r="AG68" s="53">
        <f t="shared" si="10"/>
        <v>19.26318314</v>
      </c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181.0</v>
      </c>
      <c r="B69" s="40" t="s">
        <v>116</v>
      </c>
      <c r="C69" s="41" t="s">
        <v>102</v>
      </c>
      <c r="D69" s="42" t="s">
        <v>147</v>
      </c>
      <c r="E69" s="43">
        <v>345707.0</v>
      </c>
      <c r="F69" s="44" t="s">
        <v>147</v>
      </c>
      <c r="G69" s="45">
        <v>1.0</v>
      </c>
      <c r="H69" s="54">
        <v>11.704808151241322</v>
      </c>
      <c r="I69" s="47" t="s">
        <v>39</v>
      </c>
      <c r="J69" s="39" t="str">
        <f t="shared" si="2"/>
        <v>072123 - CARLA</v>
      </c>
      <c r="K69" s="47">
        <f t="shared" si="3"/>
        <v>21.77225</v>
      </c>
      <c r="L69" s="48">
        <v>11.93</v>
      </c>
      <c r="M69" s="49">
        <f t="shared" si="4"/>
        <v>21.77225</v>
      </c>
      <c r="N69" s="39" t="s">
        <v>118</v>
      </c>
      <c r="O69" s="39" t="s">
        <v>41</v>
      </c>
      <c r="P69" s="39" t="s">
        <v>42</v>
      </c>
      <c r="Q69" s="47" t="str">
        <f t="shared" si="5"/>
        <v>46*61</v>
      </c>
      <c r="R69" s="50">
        <v>1.0</v>
      </c>
      <c r="S69" s="51">
        <v>0.0</v>
      </c>
      <c r="T69" s="51">
        <v>0.0</v>
      </c>
      <c r="U69" s="51">
        <v>0.0</v>
      </c>
      <c r="V69" s="39" t="s">
        <v>119</v>
      </c>
      <c r="W69" s="47" t="str">
        <f t="shared" si="6"/>
        <v>BLANC - 46*61 - PAS DE REHAUSSE - (Largeur 15mm Profondeur 30mm)</v>
      </c>
      <c r="X69" s="50">
        <v>0.0</v>
      </c>
      <c r="Y69" s="52" t="s">
        <v>44</v>
      </c>
      <c r="Z69" s="47" t="str">
        <f t="shared" si="7"/>
        <v>CARLA BLANC 46*61 VERRE</v>
      </c>
      <c r="AA69" s="39" t="s">
        <v>45</v>
      </c>
      <c r="AB69" s="39" t="s">
        <v>46</v>
      </c>
      <c r="AC69" s="47" t="str">
        <f t="shared" si="8"/>
        <v>CARLA BLANC 46*61 VERRE</v>
      </c>
      <c r="AD69" s="39" t="s">
        <v>47</v>
      </c>
      <c r="AE69" s="39" t="str">
        <f t="shared" si="9"/>
        <v>EVA  46*61 BLANC VERRE PAS DE REHAUSSE - CADRES CLASSIQUES - Pas de passepartout - Dos classique sans chevalet (Largeur 15mm Profondeur 30mm)</v>
      </c>
      <c r="AF69" s="39" t="str">
        <f t="shared" si="1"/>
        <v>EVA  46*61 BLANC VERRE PAS DE REHAUSSE - CADRES CLASSIQUES - Pas de passepartout - Dos classique sans chevalet (Largeur 15mm Profondeur 30mm)</v>
      </c>
      <c r="AG69" s="53">
        <f t="shared" si="10"/>
        <v>21.06865467</v>
      </c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182.0</v>
      </c>
      <c r="B70" s="40" t="s">
        <v>116</v>
      </c>
      <c r="C70" s="41" t="s">
        <v>104</v>
      </c>
      <c r="D70" s="42" t="s">
        <v>148</v>
      </c>
      <c r="E70" s="43">
        <v>345707.0</v>
      </c>
      <c r="F70" s="44" t="s">
        <v>148</v>
      </c>
      <c r="G70" s="45">
        <v>8.0</v>
      </c>
      <c r="H70" s="54">
        <v>10.832927578239746</v>
      </c>
      <c r="I70" s="47" t="s">
        <v>39</v>
      </c>
      <c r="J70" s="39" t="str">
        <f t="shared" si="2"/>
        <v>072124 - CARLA</v>
      </c>
      <c r="K70" s="47">
        <f t="shared" si="3"/>
        <v>20.148</v>
      </c>
      <c r="L70" s="48">
        <v>11.04</v>
      </c>
      <c r="M70" s="49">
        <f t="shared" si="4"/>
        <v>20.148</v>
      </c>
      <c r="N70" s="39" t="s">
        <v>118</v>
      </c>
      <c r="O70" s="39" t="s">
        <v>41</v>
      </c>
      <c r="P70" s="39" t="s">
        <v>42</v>
      </c>
      <c r="Q70" s="47" t="str">
        <f t="shared" si="5"/>
        <v>50*50</v>
      </c>
      <c r="R70" s="50">
        <v>1.0</v>
      </c>
      <c r="S70" s="51">
        <v>0.0</v>
      </c>
      <c r="T70" s="51">
        <v>0.0</v>
      </c>
      <c r="U70" s="51">
        <v>0.0</v>
      </c>
      <c r="V70" s="39" t="s">
        <v>119</v>
      </c>
      <c r="W70" s="47" t="str">
        <f t="shared" si="6"/>
        <v>BLANC - 50*50 - PAS DE REHAUSSE - (Largeur 15mm Profondeur 30mm)</v>
      </c>
      <c r="X70" s="50">
        <v>0.0</v>
      </c>
      <c r="Y70" s="52" t="s">
        <v>44</v>
      </c>
      <c r="Z70" s="47" t="str">
        <f t="shared" si="7"/>
        <v>CARLA BLANC 50*50 VERRE</v>
      </c>
      <c r="AA70" s="39" t="s">
        <v>45</v>
      </c>
      <c r="AB70" s="39" t="s">
        <v>46</v>
      </c>
      <c r="AC70" s="47" t="str">
        <f t="shared" si="8"/>
        <v>CARLA BLANC 50*50 VERRE</v>
      </c>
      <c r="AD70" s="39" t="s">
        <v>47</v>
      </c>
      <c r="AE70" s="39" t="str">
        <f t="shared" si="9"/>
        <v>EVA  50*50 BLANC VERRE PAS DE REHAUSSE - CADRES CLASSIQUES - Pas de passepartout - Dos classique sans chevalet (Largeur 15mm Profondeur 30mm)</v>
      </c>
      <c r="AF70" s="39" t="str">
        <f t="shared" si="1"/>
        <v>EVA  50*50 BLANC VERRE PAS DE REHAUSSE - CADRES CLASSIQUES - Pas de passepartout - Dos classique sans chevalet (Largeur 15mm Profondeur 30mm)</v>
      </c>
      <c r="AG70" s="53">
        <f t="shared" si="10"/>
        <v>19.49926964</v>
      </c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183.0</v>
      </c>
      <c r="B71" s="40" t="s">
        <v>116</v>
      </c>
      <c r="C71" s="41" t="s">
        <v>106</v>
      </c>
      <c r="D71" s="42" t="s">
        <v>149</v>
      </c>
      <c r="E71" s="43">
        <v>345707.0</v>
      </c>
      <c r="F71" s="44" t="s">
        <v>149</v>
      </c>
      <c r="G71" s="45">
        <v>5.0</v>
      </c>
      <c r="H71" s="54">
        <v>12.160914159908184</v>
      </c>
      <c r="I71" s="47" t="s">
        <v>39</v>
      </c>
      <c r="J71" s="39" t="str">
        <f t="shared" si="2"/>
        <v>072125 - CARLA</v>
      </c>
      <c r="K71" s="47">
        <f t="shared" si="3"/>
        <v>22.61175</v>
      </c>
      <c r="L71" s="48">
        <v>12.39</v>
      </c>
      <c r="M71" s="49">
        <f t="shared" si="4"/>
        <v>22.61175</v>
      </c>
      <c r="N71" s="39" t="s">
        <v>118</v>
      </c>
      <c r="O71" s="39" t="s">
        <v>41</v>
      </c>
      <c r="P71" s="39" t="s">
        <v>42</v>
      </c>
      <c r="Q71" s="47" t="str">
        <f t="shared" si="5"/>
        <v>50*60</v>
      </c>
      <c r="R71" s="50">
        <v>1.0</v>
      </c>
      <c r="S71" s="51">
        <v>0.0</v>
      </c>
      <c r="T71" s="51">
        <v>0.0</v>
      </c>
      <c r="U71" s="51">
        <v>0.0</v>
      </c>
      <c r="V71" s="39" t="s">
        <v>119</v>
      </c>
      <c r="W71" s="47" t="str">
        <f t="shared" si="6"/>
        <v>BLANC - 50*60 - PAS DE REHAUSSE - (Largeur 15mm Profondeur 30mm)</v>
      </c>
      <c r="X71" s="50">
        <v>0.0</v>
      </c>
      <c r="Y71" s="52" t="s">
        <v>44</v>
      </c>
      <c r="Z71" s="47" t="str">
        <f t="shared" si="7"/>
        <v>CARLA BLANC 50*60 VERRE</v>
      </c>
      <c r="AA71" s="39" t="s">
        <v>45</v>
      </c>
      <c r="AB71" s="39" t="s">
        <v>46</v>
      </c>
      <c r="AC71" s="47" t="str">
        <f t="shared" si="8"/>
        <v>CARLA BLANC 50*60 VERRE</v>
      </c>
      <c r="AD71" s="39" t="s">
        <v>47</v>
      </c>
      <c r="AE71" s="39" t="str">
        <f t="shared" si="9"/>
        <v>EVA  50*60 BLANC VERRE PAS DE REHAUSSE - CADRES CLASSIQUES - Pas de passepartout - Dos classique sans chevalet (Largeur 15mm Profondeur 30mm)</v>
      </c>
      <c r="AF71" s="39" t="str">
        <f t="shared" si="1"/>
        <v>EVA  50*60 BLANC VERRE PAS DE REHAUSSE - CADRES CLASSIQUES - Pas de passepartout - Dos classique sans chevalet (Largeur 15mm Profondeur 30mm)</v>
      </c>
      <c r="AG71" s="53">
        <f t="shared" si="10"/>
        <v>21.88964549</v>
      </c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184.0</v>
      </c>
      <c r="B72" s="40" t="s">
        <v>116</v>
      </c>
      <c r="C72" s="41" t="s">
        <v>108</v>
      </c>
      <c r="D72" s="42" t="s">
        <v>150</v>
      </c>
      <c r="E72" s="43">
        <v>345707.0</v>
      </c>
      <c r="F72" s="44" t="s">
        <v>150</v>
      </c>
      <c r="G72" s="45">
        <v>2.0</v>
      </c>
      <c r="H72" s="54">
        <v>12.824907450742401</v>
      </c>
      <c r="I72" s="47" t="s">
        <v>39</v>
      </c>
      <c r="J72" s="39" t="str">
        <f t="shared" si="2"/>
        <v>072126 - CARLA</v>
      </c>
      <c r="K72" s="47">
        <f t="shared" si="3"/>
        <v>23.85275</v>
      </c>
      <c r="L72" s="48">
        <v>13.07</v>
      </c>
      <c r="M72" s="49">
        <f t="shared" si="4"/>
        <v>23.85275</v>
      </c>
      <c r="N72" s="39" t="s">
        <v>118</v>
      </c>
      <c r="O72" s="39" t="s">
        <v>41</v>
      </c>
      <c r="P72" s="39" t="s">
        <v>42</v>
      </c>
      <c r="Q72" s="47" t="str">
        <f t="shared" si="5"/>
        <v>50*65</v>
      </c>
      <c r="R72" s="50">
        <v>1.0</v>
      </c>
      <c r="S72" s="51">
        <v>0.0</v>
      </c>
      <c r="T72" s="51">
        <v>0.0</v>
      </c>
      <c r="U72" s="51">
        <v>0.0</v>
      </c>
      <c r="V72" s="39" t="s">
        <v>119</v>
      </c>
      <c r="W72" s="47" t="str">
        <f t="shared" si="6"/>
        <v>BLANC - 50*65 - PAS DE REHAUSSE - (Largeur 15mm Profondeur 30mm)</v>
      </c>
      <c r="X72" s="50">
        <v>0.0</v>
      </c>
      <c r="Y72" s="52" t="s">
        <v>44</v>
      </c>
      <c r="Z72" s="47" t="str">
        <f t="shared" si="7"/>
        <v>CARLA BLANC 50*65 VERRE</v>
      </c>
      <c r="AA72" s="39" t="s">
        <v>45</v>
      </c>
      <c r="AB72" s="39" t="s">
        <v>46</v>
      </c>
      <c r="AC72" s="47" t="str">
        <f t="shared" si="8"/>
        <v>CARLA BLANC 50*65 VERRE</v>
      </c>
      <c r="AD72" s="39" t="s">
        <v>47</v>
      </c>
      <c r="AE72" s="39" t="str">
        <f t="shared" si="9"/>
        <v>EVA  50*65 BLANC VERRE PAS DE REHAUSSE - CADRES CLASSIQUES - Pas de passepartout - Dos classique sans chevalet (Largeur 15mm Profondeur 30mm)</v>
      </c>
      <c r="AF72" s="39" t="str">
        <f t="shared" si="1"/>
        <v>EVA  50*65 BLANC VERRE PAS DE REHAUSSE - CADRES CLASSIQUES - Pas de passepartout - Dos classique sans chevalet (Largeur 15mm Profondeur 30mm)</v>
      </c>
      <c r="AG72" s="53">
        <f t="shared" si="10"/>
        <v>23.08483341</v>
      </c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185.0</v>
      </c>
      <c r="B73" s="40" t="s">
        <v>116</v>
      </c>
      <c r="C73" s="41" t="s">
        <v>110</v>
      </c>
      <c r="D73" s="42" t="s">
        <v>151</v>
      </c>
      <c r="E73" s="43">
        <v>345707.0</v>
      </c>
      <c r="F73" s="44" t="s">
        <v>151</v>
      </c>
      <c r="G73" s="45">
        <v>9.0</v>
      </c>
      <c r="H73" s="54">
        <v>13.488900741576625</v>
      </c>
      <c r="I73" s="47" t="s">
        <v>39</v>
      </c>
      <c r="J73" s="39" t="str">
        <f t="shared" si="2"/>
        <v>072127 - CARLA</v>
      </c>
      <c r="K73" s="47">
        <f t="shared" si="3"/>
        <v>25.09375</v>
      </c>
      <c r="L73" s="48">
        <v>13.75</v>
      </c>
      <c r="M73" s="49">
        <f t="shared" si="4"/>
        <v>25.09375</v>
      </c>
      <c r="N73" s="39" t="s">
        <v>118</v>
      </c>
      <c r="O73" s="39" t="s">
        <v>41</v>
      </c>
      <c r="P73" s="39" t="s">
        <v>42</v>
      </c>
      <c r="Q73" s="47" t="str">
        <f t="shared" si="5"/>
        <v>50*70</v>
      </c>
      <c r="R73" s="50">
        <v>1.0</v>
      </c>
      <c r="S73" s="51">
        <v>0.0</v>
      </c>
      <c r="T73" s="51">
        <v>0.0</v>
      </c>
      <c r="U73" s="51">
        <v>0.0</v>
      </c>
      <c r="V73" s="39" t="s">
        <v>119</v>
      </c>
      <c r="W73" s="47" t="str">
        <f t="shared" si="6"/>
        <v>BLANC - 50*70 - PAS DE REHAUSSE - (Largeur 15mm Profondeur 30mm)</v>
      </c>
      <c r="X73" s="50">
        <v>0.0</v>
      </c>
      <c r="Y73" s="52" t="s">
        <v>44</v>
      </c>
      <c r="Z73" s="47" t="str">
        <f t="shared" si="7"/>
        <v>CARLA BLANC 50*70 VERRE</v>
      </c>
      <c r="AA73" s="39" t="s">
        <v>45</v>
      </c>
      <c r="AB73" s="39" t="s">
        <v>46</v>
      </c>
      <c r="AC73" s="47" t="str">
        <f t="shared" si="8"/>
        <v>CARLA BLANC 50*70 VERRE</v>
      </c>
      <c r="AD73" s="39" t="s">
        <v>47</v>
      </c>
      <c r="AE73" s="39" t="str">
        <f t="shared" si="9"/>
        <v>EVA  50*70 BLANC VERRE PAS DE REHAUSSE - CADRES CLASSIQUES - Pas de passepartout - Dos classique sans chevalet (Largeur 15mm Profondeur 30mm)</v>
      </c>
      <c r="AF73" s="39" t="str">
        <f t="shared" si="1"/>
        <v>EVA  50*70 BLANC VERRE PAS DE REHAUSSE - CADRES CLASSIQUES - Pas de passepartout - Dos classique sans chevalet (Largeur 15mm Profondeur 30mm)</v>
      </c>
      <c r="AG73" s="53">
        <f t="shared" si="10"/>
        <v>24.28002133</v>
      </c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186.0</v>
      </c>
      <c r="B74" s="40" t="s">
        <v>116</v>
      </c>
      <c r="C74" s="41" t="s">
        <v>114</v>
      </c>
      <c r="D74" s="42" t="s">
        <v>152</v>
      </c>
      <c r="E74" s="43">
        <v>345707.0</v>
      </c>
      <c r="F74" s="44" t="s">
        <v>152</v>
      </c>
      <c r="G74" s="45">
        <v>6.0</v>
      </c>
      <c r="H74" s="54">
        <v>16.538351410593037</v>
      </c>
      <c r="I74" s="47" t="s">
        <v>39</v>
      </c>
      <c r="J74" s="39" t="str">
        <f t="shared" si="2"/>
        <v>072128 - CARLA</v>
      </c>
      <c r="K74" s="47">
        <f t="shared" si="3"/>
        <v>30.75125</v>
      </c>
      <c r="L74" s="48">
        <v>16.85</v>
      </c>
      <c r="M74" s="49">
        <f t="shared" si="4"/>
        <v>30.75125</v>
      </c>
      <c r="N74" s="39" t="s">
        <v>118</v>
      </c>
      <c r="O74" s="39" t="s">
        <v>41</v>
      </c>
      <c r="P74" s="39" t="s">
        <v>42</v>
      </c>
      <c r="Q74" s="47" t="str">
        <f t="shared" si="5"/>
        <v>60*80</v>
      </c>
      <c r="R74" s="50">
        <v>1.0</v>
      </c>
      <c r="S74" s="51">
        <v>0.0</v>
      </c>
      <c r="T74" s="51">
        <v>0.0</v>
      </c>
      <c r="U74" s="51">
        <v>0.0</v>
      </c>
      <c r="V74" s="39" t="s">
        <v>119</v>
      </c>
      <c r="W74" s="47" t="str">
        <f t="shared" si="6"/>
        <v>BLANC - 60*80 - PAS DE REHAUSSE - (Largeur 15mm Profondeur 30mm)</v>
      </c>
      <c r="X74" s="50">
        <v>0.0</v>
      </c>
      <c r="Y74" s="52" t="s">
        <v>44</v>
      </c>
      <c r="Z74" s="47" t="str">
        <f t="shared" si="7"/>
        <v>CARLA BLANC 60*80 VERRE</v>
      </c>
      <c r="AA74" s="39" t="s">
        <v>45</v>
      </c>
      <c r="AB74" s="39" t="s">
        <v>46</v>
      </c>
      <c r="AC74" s="47" t="str">
        <f t="shared" si="8"/>
        <v>CARLA BLANC 60*80 VERRE</v>
      </c>
      <c r="AD74" s="39" t="s">
        <v>47</v>
      </c>
      <c r="AE74" s="39" t="str">
        <f t="shared" si="9"/>
        <v>EVA  60*80 BLANC VERRE PAS DE REHAUSSE - CADRES CLASSIQUES - Pas de passepartout - Dos classique sans chevalet (Largeur 15mm Profondeur 30mm)</v>
      </c>
      <c r="AF74" s="39" t="str">
        <f t="shared" si="1"/>
        <v>EVA  60*80 BLANC VERRE PAS DE REHAUSSE - CADRES CLASSIQUES - Pas de passepartout - Dos classique sans chevalet (Largeur 15mm Profondeur 30mm)</v>
      </c>
      <c r="AG74" s="53">
        <f t="shared" si="10"/>
        <v>29.76903254</v>
      </c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65.0</v>
      </c>
      <c r="B75" s="40" t="s">
        <v>153</v>
      </c>
      <c r="C75" s="41" t="s">
        <v>37</v>
      </c>
      <c r="D75" s="42" t="s">
        <v>154</v>
      </c>
      <c r="E75" s="43">
        <v>345707.0</v>
      </c>
      <c r="F75" s="44" t="s">
        <v>154</v>
      </c>
      <c r="G75" s="45">
        <v>4.0</v>
      </c>
      <c r="H75" s="54">
        <v>2.9623527836446377</v>
      </c>
      <c r="I75" s="47" t="s">
        <v>39</v>
      </c>
      <c r="J75" s="39" t="str">
        <f t="shared" si="2"/>
        <v>072362 - CARLA</v>
      </c>
      <c r="K75" s="47">
        <f t="shared" si="3"/>
        <v>5.5115</v>
      </c>
      <c r="L75" s="48">
        <v>3.02</v>
      </c>
      <c r="M75" s="49">
        <f t="shared" si="4"/>
        <v>5.5115</v>
      </c>
      <c r="N75" s="39" t="s">
        <v>40</v>
      </c>
      <c r="O75" s="39" t="s">
        <v>41</v>
      </c>
      <c r="P75" s="39" t="s">
        <v>155</v>
      </c>
      <c r="Q75" s="47" t="str">
        <f t="shared" si="5"/>
        <v>10*15</v>
      </c>
      <c r="R75" s="50">
        <v>1.0</v>
      </c>
      <c r="S75" s="51">
        <v>1.0</v>
      </c>
      <c r="T75" s="51">
        <v>1.0</v>
      </c>
      <c r="U75" s="51">
        <v>0.0</v>
      </c>
      <c r="V75" s="47" t="s">
        <v>43</v>
      </c>
      <c r="W75" s="47" t="str">
        <f t="shared" si="6"/>
        <v>BRUT - 10*15 - REHAUSSE 13mm - (Largeur 15mm Profondeur 30mm)</v>
      </c>
      <c r="X75" s="50">
        <v>0.0</v>
      </c>
      <c r="Y75" s="52" t="s">
        <v>44</v>
      </c>
      <c r="Z75" s="47" t="str">
        <f t="shared" si="7"/>
        <v>CARLA BRUT + REHAUSSE 13 10*15 VERRE</v>
      </c>
      <c r="AA75" s="39" t="s">
        <v>45</v>
      </c>
      <c r="AB75" s="39" t="s">
        <v>46</v>
      </c>
      <c r="AC75" s="47" t="str">
        <f t="shared" si="8"/>
        <v>CARLA BRUT + REHAUSSE 13 10*15 VERRE</v>
      </c>
      <c r="AD75" s="39" t="s">
        <v>47</v>
      </c>
      <c r="AE75" s="39" t="str">
        <f t="shared" si="9"/>
        <v>EVA  10*15 BRUT VERRE REHAUSSE 13mm - CADRES GALERIE - Pas de passepartout - Dos classique sans chevalet (Largeur 15mm Profondeur 30mm)</v>
      </c>
      <c r="AF75" s="39" t="str">
        <f t="shared" si="1"/>
        <v>EVA  10*15 BRUT VERRE REHAUSSE 13mm - CADRES GALERIE - Pas de passepartout - Dos classique sans chevalet (Largeur 15mm Profondeur 30mm)</v>
      </c>
      <c r="AG75" s="53">
        <f t="shared" si="10"/>
        <v>5.332235011</v>
      </c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65.0</v>
      </c>
      <c r="B76" s="40" t="s">
        <v>153</v>
      </c>
      <c r="C76" s="41" t="s">
        <v>37</v>
      </c>
      <c r="D76" s="42" t="s">
        <v>156</v>
      </c>
      <c r="E76" s="43">
        <v>345707.0</v>
      </c>
      <c r="F76" s="44" t="s">
        <v>154</v>
      </c>
      <c r="G76" s="45">
        <v>4.0</v>
      </c>
      <c r="H76" s="54">
        <v>2.9623527836446377</v>
      </c>
      <c r="I76" s="47" t="s">
        <v>39</v>
      </c>
      <c r="J76" s="39" t="str">
        <f t="shared" si="2"/>
        <v>072362DC - CARLA</v>
      </c>
      <c r="K76" s="47">
        <f t="shared" si="3"/>
        <v>5.5115</v>
      </c>
      <c r="L76" s="48">
        <v>3.02</v>
      </c>
      <c r="M76" s="49">
        <f t="shared" si="4"/>
        <v>5.5115</v>
      </c>
      <c r="N76" s="39" t="s">
        <v>40</v>
      </c>
      <c r="O76" s="39" t="s">
        <v>41</v>
      </c>
      <c r="P76" s="39" t="s">
        <v>155</v>
      </c>
      <c r="Q76" s="47" t="str">
        <f t="shared" si="5"/>
        <v>10*15</v>
      </c>
      <c r="R76" s="50">
        <v>1.0</v>
      </c>
      <c r="S76" s="51">
        <v>1.0</v>
      </c>
      <c r="T76" s="51">
        <v>1.0</v>
      </c>
      <c r="U76" s="51">
        <v>1.0</v>
      </c>
      <c r="V76" s="47" t="s">
        <v>43</v>
      </c>
      <c r="W76" s="47" t="str">
        <f t="shared" si="6"/>
        <v>BRUT - 10*15 - REHAUSSE 13mm - (Largeur 15mm Profondeur 30mm)</v>
      </c>
      <c r="X76" s="50">
        <v>0.0</v>
      </c>
      <c r="Y76" s="52" t="s">
        <v>44</v>
      </c>
      <c r="Z76" s="47" t="str">
        <f t="shared" si="7"/>
        <v>CARLA BRUT + REHAUSSE 13 10*15 VERRE</v>
      </c>
      <c r="AA76" s="39" t="s">
        <v>45</v>
      </c>
      <c r="AB76" s="39" t="s">
        <v>49</v>
      </c>
      <c r="AC76" s="47" t="str">
        <f t="shared" si="8"/>
        <v>CARLA BRUT + REHAUSSE 13 10*15 VERRE</v>
      </c>
      <c r="AD76" s="39" t="s">
        <v>47</v>
      </c>
      <c r="AE76" s="39" t="str">
        <f t="shared" si="9"/>
        <v>EVA  10*15 BRUT VERRE REHAUSSE 13mm - CADRES GALERIE - Pas de passepartout - DOS AVEC CHEVALET (Largeur 15mm Profondeur 30mm)</v>
      </c>
      <c r="AF76" s="39" t="str">
        <f t="shared" si="1"/>
        <v>EVA  10*15 BRUT VERRE REHAUSSE 13mm - CADRES GALERIE - Pas de passepartout - DOS AVEC CHEVALET (Largeur 15mm Profondeur 30mm)</v>
      </c>
      <c r="AG76" s="53">
        <f t="shared" si="10"/>
        <v>5.332235011</v>
      </c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66.0</v>
      </c>
      <c r="B77" s="40" t="s">
        <v>153</v>
      </c>
      <c r="C77" s="41" t="s">
        <v>50</v>
      </c>
      <c r="D77" s="42" t="s">
        <v>157</v>
      </c>
      <c r="E77" s="43">
        <v>345707.0</v>
      </c>
      <c r="F77" s="44" t="s">
        <v>157</v>
      </c>
      <c r="G77" s="45">
        <v>1.0</v>
      </c>
      <c r="H77" s="54">
        <v>2.6992966762017976</v>
      </c>
      <c r="I77" s="47" t="s">
        <v>39</v>
      </c>
      <c r="J77" s="39" t="str">
        <f t="shared" si="2"/>
        <v>072363 - CARLA</v>
      </c>
      <c r="K77" s="47">
        <f t="shared" si="3"/>
        <v>5.01875</v>
      </c>
      <c r="L77" s="48">
        <v>2.75</v>
      </c>
      <c r="M77" s="49">
        <f t="shared" si="4"/>
        <v>5.01875</v>
      </c>
      <c r="N77" s="39" t="s">
        <v>40</v>
      </c>
      <c r="O77" s="39" t="s">
        <v>41</v>
      </c>
      <c r="P77" s="39" t="s">
        <v>155</v>
      </c>
      <c r="Q77" s="47" t="str">
        <f t="shared" si="5"/>
        <v>11*11</v>
      </c>
      <c r="R77" s="50">
        <v>1.0</v>
      </c>
      <c r="S77" s="51">
        <v>1.0</v>
      </c>
      <c r="T77" s="51">
        <v>0.0</v>
      </c>
      <c r="U77" s="51">
        <v>0.0</v>
      </c>
      <c r="V77" s="47" t="s">
        <v>43</v>
      </c>
      <c r="W77" s="47" t="str">
        <f t="shared" si="6"/>
        <v>BRUT - 11*11 - REHAUSSE 13mm - (Largeur 15mm Profondeur 30mm)</v>
      </c>
      <c r="X77" s="50">
        <v>0.0</v>
      </c>
      <c r="Y77" s="52" t="s">
        <v>44</v>
      </c>
      <c r="Z77" s="47" t="str">
        <f t="shared" si="7"/>
        <v>CARLA BRUT + REHAUSSE 13 11*11 VERRE</v>
      </c>
      <c r="AA77" s="39" t="s">
        <v>45</v>
      </c>
      <c r="AB77" s="39" t="s">
        <v>46</v>
      </c>
      <c r="AC77" s="47" t="str">
        <f t="shared" si="8"/>
        <v>CARLA BRUT + REHAUSSE 13 11*11 VERRE</v>
      </c>
      <c r="AD77" s="39" t="s">
        <v>47</v>
      </c>
      <c r="AE77" s="39" t="str">
        <f t="shared" si="9"/>
        <v>EVA  11*11 BRUT VERRE REHAUSSE 13mm - CADRES GALERIE - Pas de passepartout - Dos classique sans chevalet (Largeur 15mm Profondeur 30mm)</v>
      </c>
      <c r="AF77" s="39" t="str">
        <f t="shared" si="1"/>
        <v>EVA  11*11 BRUT VERRE REHAUSSE 13mm - CADRES GALERIE - Pas de passepartout - Dos classique sans chevalet (Largeur 15mm Profondeur 30mm)</v>
      </c>
      <c r="AG77" s="53">
        <f t="shared" si="10"/>
        <v>4.858734017</v>
      </c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67.0</v>
      </c>
      <c r="B78" s="40" t="s">
        <v>153</v>
      </c>
      <c r="C78" s="41" t="s">
        <v>52</v>
      </c>
      <c r="D78" s="42" t="s">
        <v>158</v>
      </c>
      <c r="E78" s="43">
        <v>345707.0</v>
      </c>
      <c r="F78" s="44" t="s">
        <v>158</v>
      </c>
      <c r="G78" s="45">
        <v>5.0</v>
      </c>
      <c r="H78" s="54">
        <v>3.522566382355879</v>
      </c>
      <c r="I78" s="47" t="s">
        <v>39</v>
      </c>
      <c r="J78" s="39" t="str">
        <f t="shared" si="2"/>
        <v>072365 - CARLA</v>
      </c>
      <c r="K78" s="47">
        <f t="shared" si="3"/>
        <v>6.55175</v>
      </c>
      <c r="L78" s="48">
        <v>3.59</v>
      </c>
      <c r="M78" s="49">
        <f t="shared" si="4"/>
        <v>6.55175</v>
      </c>
      <c r="N78" s="39" t="s">
        <v>40</v>
      </c>
      <c r="O78" s="39" t="s">
        <v>41</v>
      </c>
      <c r="P78" s="39" t="s">
        <v>155</v>
      </c>
      <c r="Q78" s="47" t="str">
        <f t="shared" si="5"/>
        <v>13*18</v>
      </c>
      <c r="R78" s="50">
        <v>1.0</v>
      </c>
      <c r="S78" s="51">
        <v>1.0</v>
      </c>
      <c r="T78" s="51">
        <v>1.0</v>
      </c>
      <c r="U78" s="51">
        <v>0.0</v>
      </c>
      <c r="V78" s="47" t="s">
        <v>43</v>
      </c>
      <c r="W78" s="47" t="str">
        <f t="shared" si="6"/>
        <v>BRUT - 13*18 - REHAUSSE 13mm - (Largeur 15mm Profondeur 30mm)</v>
      </c>
      <c r="X78" s="50">
        <v>0.0</v>
      </c>
      <c r="Y78" s="52" t="s">
        <v>44</v>
      </c>
      <c r="Z78" s="47" t="str">
        <f t="shared" si="7"/>
        <v>CARLA BRUT + REHAUSSE 13 13*18 VERRE</v>
      </c>
      <c r="AA78" s="39" t="s">
        <v>45</v>
      </c>
      <c r="AB78" s="39" t="s">
        <v>46</v>
      </c>
      <c r="AC78" s="47" t="str">
        <f t="shared" si="8"/>
        <v>CARLA BRUT + REHAUSSE 13 13*18 VERRE</v>
      </c>
      <c r="AD78" s="39" t="s">
        <v>47</v>
      </c>
      <c r="AE78" s="39" t="str">
        <f t="shared" si="9"/>
        <v>EVA  13*18 BRUT VERRE REHAUSSE 13mm - CADRES GALERIE - Pas de passepartout - Dos classique sans chevalet (Largeur 15mm Profondeur 30mm)</v>
      </c>
      <c r="AF78" s="39" t="str">
        <f t="shared" si="1"/>
        <v>EVA  13*18 BRUT VERRE REHAUSSE 13mm - CADRES GALERIE - Pas de passepartout - Dos classique sans chevalet (Largeur 15mm Profondeur 30mm)</v>
      </c>
      <c r="AG78" s="53">
        <f t="shared" si="10"/>
        <v>6.340619488</v>
      </c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67.0</v>
      </c>
      <c r="B79" s="40" t="s">
        <v>153</v>
      </c>
      <c r="C79" s="41" t="s">
        <v>52</v>
      </c>
      <c r="D79" s="42" t="s">
        <v>159</v>
      </c>
      <c r="E79" s="43">
        <v>345707.0</v>
      </c>
      <c r="F79" s="44" t="s">
        <v>158</v>
      </c>
      <c r="G79" s="45">
        <v>5.0</v>
      </c>
      <c r="H79" s="54">
        <v>3.522566382355879</v>
      </c>
      <c r="I79" s="47" t="s">
        <v>39</v>
      </c>
      <c r="J79" s="39" t="str">
        <f t="shared" si="2"/>
        <v>072365DC - CARLA</v>
      </c>
      <c r="K79" s="47">
        <f t="shared" si="3"/>
        <v>6.55175</v>
      </c>
      <c r="L79" s="48">
        <v>3.59</v>
      </c>
      <c r="M79" s="49">
        <f t="shared" si="4"/>
        <v>6.55175</v>
      </c>
      <c r="N79" s="39" t="s">
        <v>40</v>
      </c>
      <c r="O79" s="39" t="s">
        <v>41</v>
      </c>
      <c r="P79" s="39" t="s">
        <v>155</v>
      </c>
      <c r="Q79" s="47" t="str">
        <f t="shared" si="5"/>
        <v>13*18</v>
      </c>
      <c r="R79" s="50">
        <v>1.0</v>
      </c>
      <c r="S79" s="51">
        <v>1.0</v>
      </c>
      <c r="T79" s="51">
        <v>1.0</v>
      </c>
      <c r="U79" s="51">
        <v>1.0</v>
      </c>
      <c r="V79" s="47" t="s">
        <v>43</v>
      </c>
      <c r="W79" s="47" t="str">
        <f t="shared" si="6"/>
        <v>BRUT - 13*18 - REHAUSSE 13mm - (Largeur 15mm Profondeur 30mm)</v>
      </c>
      <c r="X79" s="50">
        <v>0.0</v>
      </c>
      <c r="Y79" s="52" t="s">
        <v>44</v>
      </c>
      <c r="Z79" s="47" t="str">
        <f t="shared" si="7"/>
        <v>CARLA BRUT + REHAUSSE 13 13*18 VERRE</v>
      </c>
      <c r="AA79" s="39" t="s">
        <v>45</v>
      </c>
      <c r="AB79" s="39" t="s">
        <v>49</v>
      </c>
      <c r="AC79" s="47" t="str">
        <f t="shared" si="8"/>
        <v>CARLA BRUT + REHAUSSE 13 13*18 VERRE</v>
      </c>
      <c r="AD79" s="39" t="s">
        <v>47</v>
      </c>
      <c r="AE79" s="39" t="str">
        <f t="shared" si="9"/>
        <v>EVA  13*18 BRUT VERRE REHAUSSE 13mm - CADRES GALERIE - Pas de passepartout - DOS AVEC CHEVALET (Largeur 15mm Profondeur 30mm)</v>
      </c>
      <c r="AF79" s="39" t="str">
        <f t="shared" si="1"/>
        <v>EVA  13*18 BRUT VERRE REHAUSSE 13mm - CADRES GALERIE - Pas de passepartout - DOS AVEC CHEVALET (Largeur 15mm Profondeur 30mm)</v>
      </c>
      <c r="AG79" s="53">
        <f t="shared" si="10"/>
        <v>6.340619488</v>
      </c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68.0</v>
      </c>
      <c r="B80" s="40" t="s">
        <v>153</v>
      </c>
      <c r="C80" s="41" t="s">
        <v>55</v>
      </c>
      <c r="D80" s="42" t="s">
        <v>160</v>
      </c>
      <c r="E80" s="43">
        <v>345707.0</v>
      </c>
      <c r="F80" s="44" t="s">
        <v>160</v>
      </c>
      <c r="G80" s="45">
        <v>9.0</v>
      </c>
      <c r="H80" s="54">
        <v>3.2477059497426515</v>
      </c>
      <c r="I80" s="47" t="s">
        <v>39</v>
      </c>
      <c r="J80" s="39" t="str">
        <f t="shared" si="2"/>
        <v>072367 - CARLA</v>
      </c>
      <c r="K80" s="47">
        <f t="shared" si="3"/>
        <v>6.04075</v>
      </c>
      <c r="L80" s="48">
        <v>3.31</v>
      </c>
      <c r="M80" s="49">
        <f t="shared" si="4"/>
        <v>6.04075</v>
      </c>
      <c r="N80" s="39" t="s">
        <v>40</v>
      </c>
      <c r="O80" s="39" t="s">
        <v>41</v>
      </c>
      <c r="P80" s="39" t="s">
        <v>155</v>
      </c>
      <c r="Q80" s="47" t="str">
        <f t="shared" si="5"/>
        <v>14*14</v>
      </c>
      <c r="R80" s="50">
        <v>1.0</v>
      </c>
      <c r="S80" s="51">
        <v>1.0</v>
      </c>
      <c r="T80" s="51">
        <v>0.0</v>
      </c>
      <c r="U80" s="51">
        <v>0.0</v>
      </c>
      <c r="V80" s="47" t="s">
        <v>43</v>
      </c>
      <c r="W80" s="47" t="str">
        <f t="shared" si="6"/>
        <v>BRUT - 14*14 - REHAUSSE 13mm - (Largeur 15mm Profondeur 30mm)</v>
      </c>
      <c r="X80" s="50">
        <v>0.0</v>
      </c>
      <c r="Y80" s="52" t="s">
        <v>44</v>
      </c>
      <c r="Z80" s="47" t="str">
        <f t="shared" si="7"/>
        <v>CARLA BRUT + REHAUSSE 13 14*14 VERRE</v>
      </c>
      <c r="AA80" s="39" t="s">
        <v>45</v>
      </c>
      <c r="AB80" s="39" t="s">
        <v>46</v>
      </c>
      <c r="AC80" s="47" t="str">
        <f t="shared" si="8"/>
        <v>CARLA BRUT + REHAUSSE 13 14*14 VERRE</v>
      </c>
      <c r="AD80" s="39" t="s">
        <v>47</v>
      </c>
      <c r="AE80" s="39" t="str">
        <f t="shared" si="9"/>
        <v>EVA  14*14 BRUT VERRE REHAUSSE 13mm - CADRES GALERIE - Pas de passepartout - Dos classique sans chevalet (Largeur 15mm Profondeur 30mm)</v>
      </c>
      <c r="AF80" s="39" t="str">
        <f t="shared" si="1"/>
        <v>EVA  14*14 BRUT VERRE REHAUSSE 13mm - CADRES GALERIE - Pas de passepartout - Dos classique sans chevalet (Largeur 15mm Profondeur 30mm)</v>
      </c>
      <c r="AG80" s="53">
        <f t="shared" si="10"/>
        <v>5.84587071</v>
      </c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69.0</v>
      </c>
      <c r="B81" s="40" t="s">
        <v>153</v>
      </c>
      <c r="C81" s="41" t="s">
        <v>57</v>
      </c>
      <c r="D81" s="42" t="s">
        <v>161</v>
      </c>
      <c r="E81" s="43">
        <v>345707.0</v>
      </c>
      <c r="F81" s="44" t="s">
        <v>161</v>
      </c>
      <c r="G81" s="45">
        <v>3.0</v>
      </c>
      <c r="H81" s="54">
        <v>3.9991</v>
      </c>
      <c r="I81" s="47" t="s">
        <v>39</v>
      </c>
      <c r="J81" s="39" t="str">
        <f t="shared" si="2"/>
        <v>054200 - CARLA</v>
      </c>
      <c r="K81" s="47">
        <f t="shared" si="3"/>
        <v>7.446</v>
      </c>
      <c r="L81" s="48">
        <v>4.08</v>
      </c>
      <c r="M81" s="49">
        <f t="shared" si="4"/>
        <v>7.446</v>
      </c>
      <c r="N81" s="39" t="s">
        <v>40</v>
      </c>
      <c r="O81" s="39" t="s">
        <v>41</v>
      </c>
      <c r="P81" s="39" t="s">
        <v>155</v>
      </c>
      <c r="Q81" s="47" t="str">
        <f t="shared" si="5"/>
        <v>15*20</v>
      </c>
      <c r="R81" s="50">
        <v>1.0</v>
      </c>
      <c r="S81" s="51">
        <v>1.0</v>
      </c>
      <c r="T81" s="51">
        <v>0.0</v>
      </c>
      <c r="U81" s="51">
        <v>0.0</v>
      </c>
      <c r="V81" s="47" t="s">
        <v>43</v>
      </c>
      <c r="W81" s="47" t="str">
        <f t="shared" si="6"/>
        <v>BRUT - 15*20 - REHAUSSE 13mm - (Largeur 15mm Profondeur 30mm)</v>
      </c>
      <c r="X81" s="50">
        <v>0.0</v>
      </c>
      <c r="Y81" s="52" t="s">
        <v>44</v>
      </c>
      <c r="Z81" s="47" t="str">
        <f t="shared" si="7"/>
        <v>CARLA BRUT + REHAUSSE 13 15*20 VERRE</v>
      </c>
      <c r="AA81" s="39" t="s">
        <v>45</v>
      </c>
      <c r="AB81" s="39" t="s">
        <v>46</v>
      </c>
      <c r="AC81" s="47" t="str">
        <f t="shared" si="8"/>
        <v>CARLA BRUT + REHAUSSE 13 15*20 VERRE</v>
      </c>
      <c r="AD81" s="39" t="s">
        <v>47</v>
      </c>
      <c r="AE81" s="39" t="str">
        <f t="shared" si="9"/>
        <v>EVA  15*20 BRUT VERRE REHAUSSE 13mm - CADRES GALERIE - Pas de passepartout - Dos classique sans chevalet (Largeur 15mm Profondeur 30mm)</v>
      </c>
      <c r="AF81" s="39" t="str">
        <f t="shared" si="1"/>
        <v>EVA  15*20 BRUT VERRE REHAUSSE 13mm - CADRES GALERIE - Pas de passepartout - Dos classique sans chevalet (Largeur 15mm Profondeur 30mm)</v>
      </c>
      <c r="AG81" s="53">
        <f t="shared" si="10"/>
        <v>7.19838</v>
      </c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70.0</v>
      </c>
      <c r="B82" s="40" t="s">
        <v>153</v>
      </c>
      <c r="C82" s="41" t="s">
        <v>59</v>
      </c>
      <c r="D82" s="42" t="s">
        <v>162</v>
      </c>
      <c r="E82" s="43">
        <v>345707.0</v>
      </c>
      <c r="F82" s="44" t="s">
        <v>162</v>
      </c>
      <c r="G82" s="45">
        <v>6.0</v>
      </c>
      <c r="H82" s="54">
        <v>4.003838556490162</v>
      </c>
      <c r="I82" s="47" t="s">
        <v>39</v>
      </c>
      <c r="J82" s="39" t="str">
        <f t="shared" si="2"/>
        <v>072368 - CARLA</v>
      </c>
      <c r="K82" s="47">
        <f t="shared" si="3"/>
        <v>7.446</v>
      </c>
      <c r="L82" s="48">
        <v>4.08</v>
      </c>
      <c r="M82" s="49">
        <f t="shared" si="4"/>
        <v>7.446</v>
      </c>
      <c r="N82" s="39" t="s">
        <v>40</v>
      </c>
      <c r="O82" s="39" t="s">
        <v>41</v>
      </c>
      <c r="P82" s="39" t="s">
        <v>155</v>
      </c>
      <c r="Q82" s="47" t="str">
        <f t="shared" si="5"/>
        <v>15*21</v>
      </c>
      <c r="R82" s="50">
        <v>1.0</v>
      </c>
      <c r="S82" s="51">
        <v>1.0</v>
      </c>
      <c r="T82" s="51">
        <v>1.0</v>
      </c>
      <c r="U82" s="51">
        <v>0.0</v>
      </c>
      <c r="V82" s="47" t="s">
        <v>43</v>
      </c>
      <c r="W82" s="47" t="str">
        <f t="shared" si="6"/>
        <v>BRUT - 15*21 - REHAUSSE 13mm - (Largeur 15mm Profondeur 30mm)</v>
      </c>
      <c r="X82" s="50">
        <v>0.0</v>
      </c>
      <c r="Y82" s="52" t="s">
        <v>44</v>
      </c>
      <c r="Z82" s="47" t="str">
        <f t="shared" si="7"/>
        <v>CARLA BRUT + REHAUSSE 13 15*21 VERRE</v>
      </c>
      <c r="AA82" s="39" t="s">
        <v>45</v>
      </c>
      <c r="AB82" s="39" t="s">
        <v>46</v>
      </c>
      <c r="AC82" s="47" t="str">
        <f t="shared" si="8"/>
        <v>CARLA BRUT + REHAUSSE 13 15*21 VERRE</v>
      </c>
      <c r="AD82" s="39" t="s">
        <v>47</v>
      </c>
      <c r="AE82" s="39" t="str">
        <f t="shared" si="9"/>
        <v>EVA  15*21 BRUT VERRE REHAUSSE 13mm - CADRES GALERIE - Pas de passepartout - Dos classique sans chevalet (Largeur 15mm Profondeur 30mm)</v>
      </c>
      <c r="AF82" s="39" t="str">
        <f t="shared" si="1"/>
        <v>EVA  15*21 BRUT VERRE REHAUSSE 13mm - CADRES GALERIE - Pas de passepartout - Dos classique sans chevalet (Largeur 15mm Profondeur 30mm)</v>
      </c>
      <c r="AG82" s="53">
        <f t="shared" si="10"/>
        <v>7.206909402</v>
      </c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70.0</v>
      </c>
      <c r="B83" s="40" t="s">
        <v>153</v>
      </c>
      <c r="C83" s="41" t="s">
        <v>59</v>
      </c>
      <c r="D83" s="42" t="s">
        <v>163</v>
      </c>
      <c r="E83" s="43">
        <v>345707.0</v>
      </c>
      <c r="F83" s="44" t="s">
        <v>162</v>
      </c>
      <c r="G83" s="45">
        <v>6.0</v>
      </c>
      <c r="H83" s="54">
        <v>4.003838556490162</v>
      </c>
      <c r="I83" s="47" t="s">
        <v>39</v>
      </c>
      <c r="J83" s="39" t="str">
        <f t="shared" si="2"/>
        <v>072368DC - CARLA</v>
      </c>
      <c r="K83" s="47">
        <f t="shared" si="3"/>
        <v>7.446</v>
      </c>
      <c r="L83" s="48">
        <v>4.08</v>
      </c>
      <c r="M83" s="49">
        <f t="shared" si="4"/>
        <v>7.446</v>
      </c>
      <c r="N83" s="39" t="s">
        <v>40</v>
      </c>
      <c r="O83" s="39" t="s">
        <v>41</v>
      </c>
      <c r="P83" s="39" t="s">
        <v>155</v>
      </c>
      <c r="Q83" s="47" t="str">
        <f t="shared" si="5"/>
        <v>15*21</v>
      </c>
      <c r="R83" s="50">
        <v>1.0</v>
      </c>
      <c r="S83" s="51">
        <v>1.0</v>
      </c>
      <c r="T83" s="51">
        <v>1.0</v>
      </c>
      <c r="U83" s="51">
        <v>1.0</v>
      </c>
      <c r="V83" s="47" t="s">
        <v>43</v>
      </c>
      <c r="W83" s="47" t="str">
        <f t="shared" si="6"/>
        <v>BRUT - 15*21 - REHAUSSE 13mm - (Largeur 15mm Profondeur 30mm)</v>
      </c>
      <c r="X83" s="50">
        <v>0.0</v>
      </c>
      <c r="Y83" s="52" t="s">
        <v>44</v>
      </c>
      <c r="Z83" s="47" t="str">
        <f t="shared" si="7"/>
        <v>CARLA BRUT + REHAUSSE 13 15*21 VERRE</v>
      </c>
      <c r="AA83" s="39" t="s">
        <v>45</v>
      </c>
      <c r="AB83" s="39" t="s">
        <v>49</v>
      </c>
      <c r="AC83" s="47" t="str">
        <f t="shared" si="8"/>
        <v>CARLA BRUT + REHAUSSE 13 15*21 VERRE</v>
      </c>
      <c r="AD83" s="39" t="s">
        <v>47</v>
      </c>
      <c r="AE83" s="39" t="str">
        <f t="shared" si="9"/>
        <v>EVA  15*21 BRUT VERRE REHAUSSE 13mm - CADRES GALERIE - Pas de passepartout - DOS AVEC CHEVALET (Largeur 15mm Profondeur 30mm)</v>
      </c>
      <c r="AF83" s="39" t="str">
        <f t="shared" si="1"/>
        <v>EVA  15*21 BRUT VERRE REHAUSSE 13mm - CADRES GALERIE - Pas de passepartout - DOS AVEC CHEVALET (Largeur 15mm Profondeur 30mm)</v>
      </c>
      <c r="AG83" s="53">
        <f t="shared" si="10"/>
        <v>7.206909402</v>
      </c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71.0</v>
      </c>
      <c r="B84" s="40" t="s">
        <v>153</v>
      </c>
      <c r="C84" s="41" t="s">
        <v>62</v>
      </c>
      <c r="D84" s="42" t="s">
        <v>164</v>
      </c>
      <c r="E84" s="43">
        <v>345707.0</v>
      </c>
      <c r="F84" s="44" t="s">
        <v>164</v>
      </c>
      <c r="G84" s="45">
        <v>3.0</v>
      </c>
      <c r="H84" s="54">
        <v>4.607334680826153</v>
      </c>
      <c r="I84" s="47" t="s">
        <v>39</v>
      </c>
      <c r="J84" s="39" t="str">
        <f t="shared" si="2"/>
        <v>072369 - CARLA</v>
      </c>
      <c r="K84" s="47">
        <f t="shared" si="3"/>
        <v>8.55925</v>
      </c>
      <c r="L84" s="48">
        <v>4.69</v>
      </c>
      <c r="M84" s="49">
        <f t="shared" si="4"/>
        <v>8.55925</v>
      </c>
      <c r="N84" s="39" t="s">
        <v>40</v>
      </c>
      <c r="O84" s="39" t="s">
        <v>41</v>
      </c>
      <c r="P84" s="39" t="s">
        <v>155</v>
      </c>
      <c r="Q84" s="47" t="str">
        <f t="shared" si="5"/>
        <v>18*24</v>
      </c>
      <c r="R84" s="50">
        <v>1.0</v>
      </c>
      <c r="S84" s="51">
        <v>1.0</v>
      </c>
      <c r="T84" s="51">
        <v>1.0</v>
      </c>
      <c r="U84" s="51">
        <v>0.0</v>
      </c>
      <c r="V84" s="47" t="s">
        <v>43</v>
      </c>
      <c r="W84" s="47" t="str">
        <f t="shared" si="6"/>
        <v>BRUT - 18*24 - REHAUSSE 13mm - (Largeur 15mm Profondeur 30mm)</v>
      </c>
      <c r="X84" s="50">
        <v>0.0</v>
      </c>
      <c r="Y84" s="52" t="s">
        <v>44</v>
      </c>
      <c r="Z84" s="47" t="str">
        <f t="shared" si="7"/>
        <v>CARLA BRUT + REHAUSSE 13 18*24 VERRE</v>
      </c>
      <c r="AA84" s="39" t="s">
        <v>45</v>
      </c>
      <c r="AB84" s="39" t="s">
        <v>46</v>
      </c>
      <c r="AC84" s="47" t="str">
        <f t="shared" si="8"/>
        <v>CARLA BRUT + REHAUSSE 13 18*24 VERRE</v>
      </c>
      <c r="AD84" s="39" t="s">
        <v>47</v>
      </c>
      <c r="AE84" s="39" t="str">
        <f t="shared" si="9"/>
        <v>EVA  18*24 BRUT VERRE REHAUSSE 13mm - CADRES GALERIE - Pas de passepartout - Dos classique sans chevalet (Largeur 15mm Profondeur 30mm)</v>
      </c>
      <c r="AF84" s="39" t="str">
        <f t="shared" si="1"/>
        <v>EVA  18*24 BRUT VERRE REHAUSSE 13mm - CADRES GALERIE - Pas de passepartout - Dos classique sans chevalet (Largeur 15mm Profondeur 30mm)</v>
      </c>
      <c r="AG84" s="53">
        <f t="shared" si="10"/>
        <v>8.293202425</v>
      </c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71.0</v>
      </c>
      <c r="B85" s="40" t="s">
        <v>153</v>
      </c>
      <c r="C85" s="41" t="s">
        <v>62</v>
      </c>
      <c r="D85" s="42" t="s">
        <v>165</v>
      </c>
      <c r="E85" s="43">
        <v>345707.0</v>
      </c>
      <c r="F85" s="44" t="s">
        <v>164</v>
      </c>
      <c r="G85" s="45">
        <v>3.0</v>
      </c>
      <c r="H85" s="54">
        <v>4.607334680826153</v>
      </c>
      <c r="I85" s="47" t="s">
        <v>39</v>
      </c>
      <c r="J85" s="39" t="str">
        <f t="shared" si="2"/>
        <v>072369DC - CARLA</v>
      </c>
      <c r="K85" s="47">
        <f t="shared" si="3"/>
        <v>8.55925</v>
      </c>
      <c r="L85" s="48">
        <v>4.69</v>
      </c>
      <c r="M85" s="49">
        <f t="shared" si="4"/>
        <v>8.55925</v>
      </c>
      <c r="N85" s="39" t="s">
        <v>40</v>
      </c>
      <c r="O85" s="39" t="s">
        <v>41</v>
      </c>
      <c r="P85" s="39" t="s">
        <v>155</v>
      </c>
      <c r="Q85" s="47" t="str">
        <f t="shared" si="5"/>
        <v>18*24</v>
      </c>
      <c r="R85" s="50">
        <v>1.0</v>
      </c>
      <c r="S85" s="51">
        <v>1.0</v>
      </c>
      <c r="T85" s="51">
        <v>1.0</v>
      </c>
      <c r="U85" s="51">
        <v>1.0</v>
      </c>
      <c r="V85" s="47" t="s">
        <v>43</v>
      </c>
      <c r="W85" s="47" t="str">
        <f t="shared" si="6"/>
        <v>BRUT - 18*24 - REHAUSSE 13mm - (Largeur 15mm Profondeur 30mm)</v>
      </c>
      <c r="X85" s="50">
        <v>0.0</v>
      </c>
      <c r="Y85" s="52" t="s">
        <v>44</v>
      </c>
      <c r="Z85" s="47" t="str">
        <f t="shared" si="7"/>
        <v>CARLA BRUT + REHAUSSE 13 18*24 VERRE</v>
      </c>
      <c r="AA85" s="39" t="s">
        <v>45</v>
      </c>
      <c r="AB85" s="39" t="s">
        <v>49</v>
      </c>
      <c r="AC85" s="47" t="str">
        <f t="shared" si="8"/>
        <v>CARLA BRUT + REHAUSSE 13 18*24 VERRE</v>
      </c>
      <c r="AD85" s="39" t="s">
        <v>47</v>
      </c>
      <c r="AE85" s="39" t="str">
        <f t="shared" si="9"/>
        <v>EVA  18*24 BRUT VERRE REHAUSSE 13mm - CADRES GALERIE - Pas de passepartout - DOS AVEC CHEVALET (Largeur 15mm Profondeur 30mm)</v>
      </c>
      <c r="AF85" s="39" t="str">
        <f t="shared" si="1"/>
        <v>EVA  18*24 BRUT VERRE REHAUSSE 13mm - CADRES GALERIE - Pas de passepartout - DOS AVEC CHEVALET (Largeur 15mm Profondeur 30mm)</v>
      </c>
      <c r="AG85" s="53">
        <f t="shared" si="10"/>
        <v>8.293202425</v>
      </c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72.0</v>
      </c>
      <c r="B86" s="40" t="s">
        <v>153</v>
      </c>
      <c r="C86" s="41" t="s">
        <v>65</v>
      </c>
      <c r="D86" s="42" t="s">
        <v>166</v>
      </c>
      <c r="E86" s="43">
        <v>345707.0</v>
      </c>
      <c r="F86" s="44" t="s">
        <v>166</v>
      </c>
      <c r="G86" s="45">
        <v>9.0</v>
      </c>
      <c r="H86" s="54">
        <v>5.6921029792964255</v>
      </c>
      <c r="I86" s="47" t="s">
        <v>39</v>
      </c>
      <c r="J86" s="39" t="str">
        <f t="shared" si="2"/>
        <v>072370 - CARLA</v>
      </c>
      <c r="K86" s="47">
        <f t="shared" si="3"/>
        <v>10.585</v>
      </c>
      <c r="L86" s="48">
        <v>5.8</v>
      </c>
      <c r="M86" s="49">
        <f t="shared" si="4"/>
        <v>10.585</v>
      </c>
      <c r="N86" s="39" t="s">
        <v>40</v>
      </c>
      <c r="O86" s="39" t="s">
        <v>41</v>
      </c>
      <c r="P86" s="39" t="s">
        <v>155</v>
      </c>
      <c r="Q86" s="47" t="str">
        <f t="shared" si="5"/>
        <v>18*35</v>
      </c>
      <c r="R86" s="50">
        <v>1.0</v>
      </c>
      <c r="S86" s="51">
        <v>1.0</v>
      </c>
      <c r="T86" s="51">
        <v>0.0</v>
      </c>
      <c r="U86" s="51">
        <v>0.0</v>
      </c>
      <c r="V86" s="47" t="s">
        <v>43</v>
      </c>
      <c r="W86" s="47" t="str">
        <f t="shared" si="6"/>
        <v>BRUT - 18*35 - REHAUSSE 13mm - (Largeur 15mm Profondeur 30mm)</v>
      </c>
      <c r="X86" s="50">
        <v>0.0</v>
      </c>
      <c r="Y86" s="52" t="s">
        <v>44</v>
      </c>
      <c r="Z86" s="47" t="str">
        <f t="shared" si="7"/>
        <v>CARLA BRUT + REHAUSSE 13 18*35 VERRE</v>
      </c>
      <c r="AA86" s="39" t="s">
        <v>45</v>
      </c>
      <c r="AB86" s="39" t="s">
        <v>46</v>
      </c>
      <c r="AC86" s="47" t="str">
        <f t="shared" si="8"/>
        <v>CARLA BRUT + REHAUSSE 13 18*35 VERRE</v>
      </c>
      <c r="AD86" s="39" t="s">
        <v>47</v>
      </c>
      <c r="AE86" s="39" t="str">
        <f t="shared" si="9"/>
        <v>EVA  18*35 BRUT VERRE REHAUSSE 13mm - CADRES GALERIE - Pas de passepartout - Dos classique sans chevalet (Largeur 15mm Profondeur 30mm)</v>
      </c>
      <c r="AF86" s="39" t="str">
        <f t="shared" si="1"/>
        <v>EVA  18*35 BRUT VERRE REHAUSSE 13mm - CADRES GALERIE - Pas de passepartout - Dos classique sans chevalet (Largeur 15mm Profondeur 30mm)</v>
      </c>
      <c r="AG86" s="53">
        <f t="shared" si="10"/>
        <v>10.24578536</v>
      </c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73.0</v>
      </c>
      <c r="B87" s="40" t="s">
        <v>153</v>
      </c>
      <c r="C87" s="41" t="s">
        <v>67</v>
      </c>
      <c r="D87" s="42" t="s">
        <v>167</v>
      </c>
      <c r="E87" s="43">
        <v>345707.0</v>
      </c>
      <c r="F87" s="44" t="s">
        <v>167</v>
      </c>
      <c r="G87" s="45">
        <v>6.0</v>
      </c>
      <c r="H87" s="54">
        <v>4.415350447846679</v>
      </c>
      <c r="I87" s="47" t="s">
        <v>39</v>
      </c>
      <c r="J87" s="39" t="str">
        <f t="shared" si="2"/>
        <v>072371 - CARLA</v>
      </c>
      <c r="K87" s="47">
        <f t="shared" si="3"/>
        <v>8.2125</v>
      </c>
      <c r="L87" s="48">
        <v>4.5</v>
      </c>
      <c r="M87" s="49">
        <f t="shared" si="4"/>
        <v>8.2125</v>
      </c>
      <c r="N87" s="39" t="s">
        <v>40</v>
      </c>
      <c r="O87" s="39" t="s">
        <v>41</v>
      </c>
      <c r="P87" s="39" t="s">
        <v>155</v>
      </c>
      <c r="Q87" s="47" t="str">
        <f t="shared" si="5"/>
        <v>20*20</v>
      </c>
      <c r="R87" s="50">
        <v>1.0</v>
      </c>
      <c r="S87" s="51">
        <v>1.0</v>
      </c>
      <c r="T87" s="51">
        <v>0.0</v>
      </c>
      <c r="U87" s="51">
        <v>0.0</v>
      </c>
      <c r="V87" s="47" t="s">
        <v>43</v>
      </c>
      <c r="W87" s="47" t="str">
        <f t="shared" si="6"/>
        <v>BRUT - 20*20 - REHAUSSE 13mm - (Largeur 15mm Profondeur 30mm)</v>
      </c>
      <c r="X87" s="50">
        <v>0.0</v>
      </c>
      <c r="Y87" s="52" t="s">
        <v>44</v>
      </c>
      <c r="Z87" s="47" t="str">
        <f t="shared" si="7"/>
        <v>CARLA BRUT + REHAUSSE 13 20*20 VERRE</v>
      </c>
      <c r="AA87" s="39" t="s">
        <v>45</v>
      </c>
      <c r="AB87" s="39" t="s">
        <v>46</v>
      </c>
      <c r="AC87" s="47" t="str">
        <f t="shared" si="8"/>
        <v>CARLA BRUT + REHAUSSE 13 20*20 VERRE</v>
      </c>
      <c r="AD87" s="39" t="s">
        <v>47</v>
      </c>
      <c r="AE87" s="39" t="str">
        <f t="shared" si="9"/>
        <v>EVA  20*20 BRUT VERRE REHAUSSE 13mm - CADRES GALERIE - Pas de passepartout - Dos classique sans chevalet (Largeur 15mm Profondeur 30mm)</v>
      </c>
      <c r="AF87" s="39" t="str">
        <f t="shared" si="1"/>
        <v>EVA  20*20 BRUT VERRE REHAUSSE 13mm - CADRES GALERIE - Pas de passepartout - Dos classique sans chevalet (Largeur 15mm Profondeur 30mm)</v>
      </c>
      <c r="AG87" s="53">
        <f t="shared" si="10"/>
        <v>7.947630806</v>
      </c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74.0</v>
      </c>
      <c r="B88" s="40" t="s">
        <v>153</v>
      </c>
      <c r="C88" s="41" t="s">
        <v>69</v>
      </c>
      <c r="D88" s="42" t="s">
        <v>168</v>
      </c>
      <c r="E88" s="43">
        <v>345707.0</v>
      </c>
      <c r="F88" s="44" t="s">
        <v>168</v>
      </c>
      <c r="G88" s="45">
        <v>3.0</v>
      </c>
      <c r="H88" s="54">
        <v>5.427735280167987</v>
      </c>
      <c r="I88" s="47" t="s">
        <v>39</v>
      </c>
      <c r="J88" s="39" t="str">
        <f t="shared" si="2"/>
        <v>072372 - CARLA</v>
      </c>
      <c r="K88" s="47">
        <f t="shared" si="3"/>
        <v>10.09225</v>
      </c>
      <c r="L88" s="48">
        <v>5.53</v>
      </c>
      <c r="M88" s="49">
        <f t="shared" si="4"/>
        <v>10.09225</v>
      </c>
      <c r="N88" s="39" t="s">
        <v>40</v>
      </c>
      <c r="O88" s="39" t="s">
        <v>41</v>
      </c>
      <c r="P88" s="39" t="s">
        <v>155</v>
      </c>
      <c r="Q88" s="47" t="str">
        <f t="shared" si="5"/>
        <v>20*30</v>
      </c>
      <c r="R88" s="50">
        <v>1.0</v>
      </c>
      <c r="S88" s="51">
        <v>1.0</v>
      </c>
      <c r="T88" s="51">
        <v>1.0</v>
      </c>
      <c r="U88" s="51">
        <v>0.0</v>
      </c>
      <c r="V88" s="47" t="s">
        <v>43</v>
      </c>
      <c r="W88" s="47" t="str">
        <f t="shared" si="6"/>
        <v>BRUT - 20*30 - REHAUSSE 13mm - (Largeur 15mm Profondeur 30mm)</v>
      </c>
      <c r="X88" s="50">
        <v>0.0</v>
      </c>
      <c r="Y88" s="52" t="s">
        <v>44</v>
      </c>
      <c r="Z88" s="47" t="str">
        <f t="shared" si="7"/>
        <v>CARLA BRUT + REHAUSSE 13 20*30 VERRE</v>
      </c>
      <c r="AA88" s="39" t="s">
        <v>45</v>
      </c>
      <c r="AB88" s="39" t="s">
        <v>46</v>
      </c>
      <c r="AC88" s="47" t="str">
        <f t="shared" si="8"/>
        <v>CARLA BRUT + REHAUSSE 13 20*30 VERRE</v>
      </c>
      <c r="AD88" s="39" t="s">
        <v>47</v>
      </c>
      <c r="AE88" s="39" t="str">
        <f t="shared" si="9"/>
        <v>EVA  20*30 BRUT VERRE REHAUSSE 13mm - CADRES GALERIE - Pas de passepartout - Dos classique sans chevalet (Largeur 15mm Profondeur 30mm)</v>
      </c>
      <c r="AF88" s="39" t="str">
        <f t="shared" si="1"/>
        <v>EVA  20*30 BRUT VERRE REHAUSSE 13mm - CADRES GALERIE - Pas de passepartout - Dos classique sans chevalet (Largeur 15mm Profondeur 30mm)</v>
      </c>
      <c r="AG88" s="53">
        <f t="shared" si="10"/>
        <v>9.769923504</v>
      </c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74.0</v>
      </c>
      <c r="B89" s="40" t="s">
        <v>153</v>
      </c>
      <c r="C89" s="41" t="s">
        <v>69</v>
      </c>
      <c r="D89" s="42" t="s">
        <v>169</v>
      </c>
      <c r="E89" s="43">
        <v>345707.0</v>
      </c>
      <c r="F89" s="44" t="s">
        <v>168</v>
      </c>
      <c r="G89" s="45">
        <v>3.0</v>
      </c>
      <c r="H89" s="54">
        <v>5.427735280167987</v>
      </c>
      <c r="I89" s="47" t="s">
        <v>39</v>
      </c>
      <c r="J89" s="39" t="str">
        <f t="shared" si="2"/>
        <v>072372DC - CARLA</v>
      </c>
      <c r="K89" s="47">
        <f t="shared" si="3"/>
        <v>10.09225</v>
      </c>
      <c r="L89" s="48">
        <v>5.53</v>
      </c>
      <c r="M89" s="49">
        <f t="shared" si="4"/>
        <v>10.09225</v>
      </c>
      <c r="N89" s="39" t="s">
        <v>40</v>
      </c>
      <c r="O89" s="39" t="s">
        <v>41</v>
      </c>
      <c r="P89" s="39" t="s">
        <v>155</v>
      </c>
      <c r="Q89" s="47" t="str">
        <f t="shared" si="5"/>
        <v>20*30</v>
      </c>
      <c r="R89" s="50">
        <v>1.0</v>
      </c>
      <c r="S89" s="51">
        <v>1.0</v>
      </c>
      <c r="T89" s="51">
        <v>1.0</v>
      </c>
      <c r="U89" s="51">
        <v>1.0</v>
      </c>
      <c r="V89" s="47" t="s">
        <v>43</v>
      </c>
      <c r="W89" s="47" t="str">
        <f t="shared" si="6"/>
        <v>BRUT - 20*30 - REHAUSSE 13mm - (Largeur 15mm Profondeur 30mm)</v>
      </c>
      <c r="X89" s="50">
        <v>0.0</v>
      </c>
      <c r="Y89" s="52" t="s">
        <v>44</v>
      </c>
      <c r="Z89" s="47" t="str">
        <f t="shared" si="7"/>
        <v>CARLA BRUT + REHAUSSE 13 20*30 VERRE</v>
      </c>
      <c r="AA89" s="39" t="s">
        <v>45</v>
      </c>
      <c r="AB89" s="39" t="s">
        <v>49</v>
      </c>
      <c r="AC89" s="47" t="str">
        <f t="shared" si="8"/>
        <v>CARLA BRUT + REHAUSSE 13 20*30 VERRE</v>
      </c>
      <c r="AD89" s="39" t="s">
        <v>47</v>
      </c>
      <c r="AE89" s="39" t="str">
        <f t="shared" si="9"/>
        <v>EVA  20*30 BRUT VERRE REHAUSSE 13mm - CADRES GALERIE - Pas de passepartout - DOS AVEC CHEVALET (Largeur 15mm Profondeur 30mm)</v>
      </c>
      <c r="AF89" s="39" t="str">
        <f t="shared" si="1"/>
        <v>EVA  20*30 BRUT VERRE REHAUSSE 13mm - CADRES GALERIE - Pas de passepartout - DOS AVEC CHEVALET (Largeur 15mm Profondeur 30mm)</v>
      </c>
      <c r="AG89" s="53">
        <f t="shared" si="10"/>
        <v>9.769923504</v>
      </c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75.0</v>
      </c>
      <c r="B90" s="40" t="s">
        <v>153</v>
      </c>
      <c r="C90" s="41" t="s">
        <v>72</v>
      </c>
      <c r="D90" s="42" t="s">
        <v>170</v>
      </c>
      <c r="E90" s="43">
        <v>345707.0</v>
      </c>
      <c r="F90" s="44" t="s">
        <v>170</v>
      </c>
      <c r="G90" s="45">
        <v>0.0</v>
      </c>
      <c r="H90" s="54">
        <v>7.452504944810603</v>
      </c>
      <c r="I90" s="47" t="s">
        <v>39</v>
      </c>
      <c r="J90" s="39" t="str">
        <f t="shared" si="2"/>
        <v>072373 - CARLA</v>
      </c>
      <c r="K90" s="47">
        <f t="shared" si="3"/>
        <v>13.85175</v>
      </c>
      <c r="L90" s="48">
        <v>7.59</v>
      </c>
      <c r="M90" s="49">
        <f t="shared" si="4"/>
        <v>13.85175</v>
      </c>
      <c r="N90" s="39" t="s">
        <v>40</v>
      </c>
      <c r="O90" s="39" t="s">
        <v>41</v>
      </c>
      <c r="P90" s="39" t="s">
        <v>155</v>
      </c>
      <c r="Q90" s="47" t="str">
        <f t="shared" si="5"/>
        <v>20*50</v>
      </c>
      <c r="R90" s="50">
        <v>1.0</v>
      </c>
      <c r="S90" s="51">
        <v>1.0</v>
      </c>
      <c r="T90" s="51">
        <v>0.0</v>
      </c>
      <c r="U90" s="51">
        <v>0.0</v>
      </c>
      <c r="V90" s="47" t="s">
        <v>43</v>
      </c>
      <c r="W90" s="47" t="str">
        <f t="shared" si="6"/>
        <v>BRUT - 20*50 - REHAUSSE 13mm - (Largeur 15mm Profondeur 30mm)</v>
      </c>
      <c r="X90" s="50">
        <v>0.0</v>
      </c>
      <c r="Y90" s="52" t="s">
        <v>44</v>
      </c>
      <c r="Z90" s="47" t="str">
        <f t="shared" si="7"/>
        <v>CARLA BRUT + REHAUSSE 13 20*50 VERRE</v>
      </c>
      <c r="AA90" s="39" t="s">
        <v>45</v>
      </c>
      <c r="AB90" s="39" t="s">
        <v>46</v>
      </c>
      <c r="AC90" s="47" t="str">
        <f t="shared" si="8"/>
        <v>CARLA BRUT + REHAUSSE 13 20*50 VERRE</v>
      </c>
      <c r="AD90" s="39" t="s">
        <v>47</v>
      </c>
      <c r="AE90" s="39" t="str">
        <f t="shared" si="9"/>
        <v>EVA  20*50 BRUT VERRE REHAUSSE 13mm - CADRES GALERIE - Pas de passepartout - Dos classique sans chevalet (Largeur 15mm Profondeur 30mm)</v>
      </c>
      <c r="AF90" s="39" t="str">
        <f t="shared" si="1"/>
        <v>EVA  20*50 BRUT VERRE REHAUSSE 13mm - CADRES GALERIE - Pas de passepartout - Dos classique sans chevalet (Largeur 15mm Profondeur 30mm)</v>
      </c>
      <c r="AG90" s="53">
        <f t="shared" si="10"/>
        <v>13.4145089</v>
      </c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76.0</v>
      </c>
      <c r="B91" s="40" t="s">
        <v>153</v>
      </c>
      <c r="C91" s="41" t="s">
        <v>74</v>
      </c>
      <c r="D91" s="42" t="s">
        <v>171</v>
      </c>
      <c r="E91" s="43">
        <v>345707.0</v>
      </c>
      <c r="F91" s="44" t="s">
        <v>171</v>
      </c>
      <c r="G91" s="45">
        <v>7.0</v>
      </c>
      <c r="H91" s="54">
        <v>8.46488977713191</v>
      </c>
      <c r="I91" s="47" t="s">
        <v>39</v>
      </c>
      <c r="J91" s="39" t="str">
        <f t="shared" si="2"/>
        <v>072374 - CARLA</v>
      </c>
      <c r="K91" s="47">
        <f t="shared" si="3"/>
        <v>15.74975</v>
      </c>
      <c r="L91" s="48">
        <v>8.63</v>
      </c>
      <c r="M91" s="49">
        <f t="shared" si="4"/>
        <v>15.74975</v>
      </c>
      <c r="N91" s="39" t="s">
        <v>40</v>
      </c>
      <c r="O91" s="39" t="s">
        <v>41</v>
      </c>
      <c r="P91" s="39" t="s">
        <v>155</v>
      </c>
      <c r="Q91" s="47" t="str">
        <f t="shared" si="5"/>
        <v>20*60</v>
      </c>
      <c r="R91" s="50">
        <v>1.0</v>
      </c>
      <c r="S91" s="51">
        <v>1.0</v>
      </c>
      <c r="T91" s="51">
        <v>0.0</v>
      </c>
      <c r="U91" s="51">
        <v>0.0</v>
      </c>
      <c r="V91" s="47" t="s">
        <v>43</v>
      </c>
      <c r="W91" s="47" t="str">
        <f t="shared" si="6"/>
        <v>BRUT - 20*60 - REHAUSSE 13mm - (Largeur 15mm Profondeur 30mm)</v>
      </c>
      <c r="X91" s="50">
        <v>0.0</v>
      </c>
      <c r="Y91" s="52" t="s">
        <v>44</v>
      </c>
      <c r="Z91" s="47" t="str">
        <f t="shared" si="7"/>
        <v>CARLA BRUT + REHAUSSE 13 20*60 VERRE</v>
      </c>
      <c r="AA91" s="39" t="s">
        <v>45</v>
      </c>
      <c r="AB91" s="39" t="s">
        <v>46</v>
      </c>
      <c r="AC91" s="47" t="str">
        <f t="shared" si="8"/>
        <v>CARLA BRUT + REHAUSSE 13 20*60 VERRE</v>
      </c>
      <c r="AD91" s="39" t="s">
        <v>47</v>
      </c>
      <c r="AE91" s="39" t="str">
        <f t="shared" si="9"/>
        <v>EVA  20*60 BRUT VERRE REHAUSSE 13mm - CADRES GALERIE - Pas de passepartout - Dos classique sans chevalet (Largeur 15mm Profondeur 30mm)</v>
      </c>
      <c r="AF91" s="39" t="str">
        <f t="shared" si="1"/>
        <v>EVA  20*60 BRUT VERRE REHAUSSE 13mm - CADRES GALERIE - Pas de passepartout - Dos classique sans chevalet (Largeur 15mm Profondeur 30mm)</v>
      </c>
      <c r="AG91" s="53">
        <f t="shared" si="10"/>
        <v>15.2368016</v>
      </c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77.0</v>
      </c>
      <c r="B92" s="40" t="s">
        <v>153</v>
      </c>
      <c r="C92" s="41" t="s">
        <v>76</v>
      </c>
      <c r="D92" s="42" t="s">
        <v>172</v>
      </c>
      <c r="E92" s="43">
        <v>345707.0</v>
      </c>
      <c r="F92" s="44" t="s">
        <v>172</v>
      </c>
      <c r="G92" s="45">
        <v>4.0</v>
      </c>
      <c r="H92" s="54">
        <v>5.511324657780782</v>
      </c>
      <c r="I92" s="47" t="s">
        <v>39</v>
      </c>
      <c r="J92" s="39" t="str">
        <f t="shared" si="2"/>
        <v>072375 - CARLA</v>
      </c>
      <c r="K92" s="47">
        <f t="shared" si="3"/>
        <v>10.2565</v>
      </c>
      <c r="L92" s="48">
        <v>5.62</v>
      </c>
      <c r="M92" s="49">
        <f t="shared" si="4"/>
        <v>10.2565</v>
      </c>
      <c r="N92" s="39" t="s">
        <v>40</v>
      </c>
      <c r="O92" s="39" t="s">
        <v>41</v>
      </c>
      <c r="P92" s="39" t="s">
        <v>155</v>
      </c>
      <c r="Q92" s="47" t="str">
        <f t="shared" si="5"/>
        <v>21*29,7</v>
      </c>
      <c r="R92" s="50">
        <v>1.0</v>
      </c>
      <c r="S92" s="51">
        <v>1.0</v>
      </c>
      <c r="T92" s="51">
        <v>0.0</v>
      </c>
      <c r="U92" s="51">
        <v>0.0</v>
      </c>
      <c r="V92" s="47" t="s">
        <v>43</v>
      </c>
      <c r="W92" s="47" t="str">
        <f t="shared" si="6"/>
        <v>BRUT - 21*29,7 - REHAUSSE 13mm - (Largeur 15mm Profondeur 30mm)</v>
      </c>
      <c r="X92" s="50">
        <v>0.0</v>
      </c>
      <c r="Y92" s="52" t="s">
        <v>44</v>
      </c>
      <c r="Z92" s="47" t="str">
        <f t="shared" si="7"/>
        <v>CARLA BRUT + REHAUSSE 13 21*29,7 VERRE</v>
      </c>
      <c r="AA92" s="39" t="s">
        <v>45</v>
      </c>
      <c r="AB92" s="39" t="s">
        <v>46</v>
      </c>
      <c r="AC92" s="47" t="str">
        <f t="shared" si="8"/>
        <v>CARLA BRUT + REHAUSSE 13 21*29,7 VERRE</v>
      </c>
      <c r="AD92" s="39" t="s">
        <v>47</v>
      </c>
      <c r="AE92" s="39" t="str">
        <f t="shared" si="9"/>
        <v>EVA  21*29,7 BRUT VERRE REHAUSSE 13mm - CADRES GALERIE - Pas de passepartout - Dos classique sans chevalet (Largeur 15mm Profondeur 30mm)</v>
      </c>
      <c r="AF92" s="39" t="str">
        <f t="shared" si="1"/>
        <v>EVA  21*29,7 BRUT VERRE REHAUSSE 13mm - CADRES GALERIE - Pas de passepartout - Dos classique sans chevalet (Largeur 15mm Profondeur 30mm)</v>
      </c>
      <c r="AG92" s="53">
        <f t="shared" si="10"/>
        <v>9.920384384</v>
      </c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78.0</v>
      </c>
      <c r="B93" s="40" t="s">
        <v>153</v>
      </c>
      <c r="C93" s="41" t="s">
        <v>78</v>
      </c>
      <c r="D93" s="42" t="s">
        <v>173</v>
      </c>
      <c r="E93" s="43">
        <v>345707.0</v>
      </c>
      <c r="F93" s="44" t="s">
        <v>173</v>
      </c>
      <c r="G93" s="45">
        <v>1.0</v>
      </c>
      <c r="H93" s="54">
        <v>7.874263646210858</v>
      </c>
      <c r="I93" s="47" t="s">
        <v>39</v>
      </c>
      <c r="J93" s="39" t="str">
        <f t="shared" si="2"/>
        <v>072376 - CARLA</v>
      </c>
      <c r="K93" s="47">
        <f t="shared" si="3"/>
        <v>14.6365</v>
      </c>
      <c r="L93" s="48">
        <v>8.02</v>
      </c>
      <c r="M93" s="49">
        <f t="shared" si="4"/>
        <v>14.6365</v>
      </c>
      <c r="N93" s="39" t="s">
        <v>40</v>
      </c>
      <c r="O93" s="39" t="s">
        <v>41</v>
      </c>
      <c r="P93" s="39" t="s">
        <v>155</v>
      </c>
      <c r="Q93" s="47" t="str">
        <f t="shared" si="5"/>
        <v>23*50</v>
      </c>
      <c r="R93" s="50">
        <v>1.0</v>
      </c>
      <c r="S93" s="51">
        <v>1.0</v>
      </c>
      <c r="T93" s="51">
        <v>0.0</v>
      </c>
      <c r="U93" s="51">
        <v>0.0</v>
      </c>
      <c r="V93" s="47" t="s">
        <v>43</v>
      </c>
      <c r="W93" s="47" t="str">
        <f t="shared" si="6"/>
        <v>BRUT - 23*50 - REHAUSSE 13mm - (Largeur 15mm Profondeur 30mm)</v>
      </c>
      <c r="X93" s="50">
        <v>0.0</v>
      </c>
      <c r="Y93" s="52" t="s">
        <v>44</v>
      </c>
      <c r="Z93" s="47" t="str">
        <f t="shared" si="7"/>
        <v>CARLA BRUT + REHAUSSE 13 23*50 VERRE</v>
      </c>
      <c r="AA93" s="39" t="s">
        <v>45</v>
      </c>
      <c r="AB93" s="39" t="s">
        <v>46</v>
      </c>
      <c r="AC93" s="47" t="str">
        <f t="shared" si="8"/>
        <v>CARLA BRUT + REHAUSSE 13 23*50 VERRE</v>
      </c>
      <c r="AD93" s="39" t="s">
        <v>47</v>
      </c>
      <c r="AE93" s="39" t="str">
        <f t="shared" si="9"/>
        <v>EVA  23*50 BRUT VERRE REHAUSSE 13mm - CADRES GALERIE - Pas de passepartout - Dos classique sans chevalet (Largeur 15mm Profondeur 30mm)</v>
      </c>
      <c r="AF93" s="39" t="str">
        <f t="shared" si="1"/>
        <v>EVA  23*50 BRUT VERRE REHAUSSE 13mm - CADRES GALERIE - Pas de passepartout - Dos classique sans chevalet (Largeur 15mm Profondeur 30mm)</v>
      </c>
      <c r="AG93" s="53">
        <f t="shared" si="10"/>
        <v>14.17367456</v>
      </c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79.0</v>
      </c>
      <c r="B94" s="40" t="s">
        <v>153</v>
      </c>
      <c r="C94" s="41" t="s">
        <v>80</v>
      </c>
      <c r="D94" s="42" t="s">
        <v>174</v>
      </c>
      <c r="E94" s="43">
        <v>345707.0</v>
      </c>
      <c r="F94" s="44" t="s">
        <v>174</v>
      </c>
      <c r="G94" s="45">
        <v>8.0</v>
      </c>
      <c r="H94" s="54">
        <v>5.885152880520448</v>
      </c>
      <c r="I94" s="47" t="s">
        <v>39</v>
      </c>
      <c r="J94" s="39" t="str">
        <f t="shared" si="2"/>
        <v>072377 - CARLA</v>
      </c>
      <c r="K94" s="47">
        <f t="shared" si="3"/>
        <v>10.95</v>
      </c>
      <c r="L94" s="48">
        <v>6.0</v>
      </c>
      <c r="M94" s="49">
        <f t="shared" si="4"/>
        <v>10.95</v>
      </c>
      <c r="N94" s="39" t="s">
        <v>40</v>
      </c>
      <c r="O94" s="39" t="s">
        <v>41</v>
      </c>
      <c r="P94" s="39" t="s">
        <v>155</v>
      </c>
      <c r="Q94" s="47" t="str">
        <f t="shared" si="5"/>
        <v>24*30</v>
      </c>
      <c r="R94" s="50">
        <v>1.0</v>
      </c>
      <c r="S94" s="51">
        <v>1.0</v>
      </c>
      <c r="T94" s="51">
        <v>0.0</v>
      </c>
      <c r="U94" s="51">
        <v>0.0</v>
      </c>
      <c r="V94" s="47" t="s">
        <v>43</v>
      </c>
      <c r="W94" s="47" t="str">
        <f t="shared" si="6"/>
        <v>BRUT - 24*30 - REHAUSSE 13mm - (Largeur 15mm Profondeur 30mm)</v>
      </c>
      <c r="X94" s="50">
        <v>0.0</v>
      </c>
      <c r="Y94" s="52" t="s">
        <v>44</v>
      </c>
      <c r="Z94" s="47" t="str">
        <f t="shared" si="7"/>
        <v>CARLA BRUT + REHAUSSE 13 24*30 VERRE</v>
      </c>
      <c r="AA94" s="39" t="s">
        <v>45</v>
      </c>
      <c r="AB94" s="39" t="s">
        <v>46</v>
      </c>
      <c r="AC94" s="47" t="str">
        <f t="shared" si="8"/>
        <v>CARLA BRUT + REHAUSSE 13 24*30 VERRE</v>
      </c>
      <c r="AD94" s="39" t="s">
        <v>47</v>
      </c>
      <c r="AE94" s="39" t="str">
        <f t="shared" si="9"/>
        <v>EVA  24*30 BRUT VERRE REHAUSSE 13mm - CADRES GALERIE - Pas de passepartout - Dos classique sans chevalet (Largeur 15mm Profondeur 30mm)</v>
      </c>
      <c r="AF94" s="39" t="str">
        <f t="shared" si="1"/>
        <v>EVA  24*30 BRUT VERRE REHAUSSE 13mm - CADRES GALERIE - Pas de passepartout - Dos classique sans chevalet (Largeur 15mm Profondeur 30mm)</v>
      </c>
      <c r="AG94" s="53">
        <f t="shared" si="10"/>
        <v>10.59327518</v>
      </c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80.0</v>
      </c>
      <c r="B95" s="40" t="s">
        <v>153</v>
      </c>
      <c r="C95" s="41" t="s">
        <v>82</v>
      </c>
      <c r="D95" s="42" t="s">
        <v>175</v>
      </c>
      <c r="E95" s="43">
        <v>345707.0</v>
      </c>
      <c r="F95" s="44" t="s">
        <v>175</v>
      </c>
      <c r="G95" s="45">
        <v>5.0</v>
      </c>
      <c r="H95" s="54">
        <v>8.155436113811025</v>
      </c>
      <c r="I95" s="47" t="s">
        <v>39</v>
      </c>
      <c r="J95" s="39" t="str">
        <f t="shared" si="2"/>
        <v>072378 - CARLA</v>
      </c>
      <c r="K95" s="47">
        <f t="shared" si="3"/>
        <v>15.16575</v>
      </c>
      <c r="L95" s="48">
        <v>8.31</v>
      </c>
      <c r="M95" s="49">
        <f t="shared" si="4"/>
        <v>15.16575</v>
      </c>
      <c r="N95" s="39" t="s">
        <v>40</v>
      </c>
      <c r="O95" s="39" t="s">
        <v>41</v>
      </c>
      <c r="P95" s="39" t="s">
        <v>155</v>
      </c>
      <c r="Q95" s="47" t="str">
        <f t="shared" si="5"/>
        <v>25*50</v>
      </c>
      <c r="R95" s="50">
        <v>1.0</v>
      </c>
      <c r="S95" s="51">
        <v>1.0</v>
      </c>
      <c r="T95" s="51">
        <v>0.0</v>
      </c>
      <c r="U95" s="51">
        <v>0.0</v>
      </c>
      <c r="V95" s="47" t="s">
        <v>43</v>
      </c>
      <c r="W95" s="47" t="str">
        <f t="shared" si="6"/>
        <v>BRUT - 25*50 - REHAUSSE 13mm - (Largeur 15mm Profondeur 30mm)</v>
      </c>
      <c r="X95" s="50">
        <v>0.0</v>
      </c>
      <c r="Y95" s="52" t="s">
        <v>44</v>
      </c>
      <c r="Z95" s="47" t="str">
        <f t="shared" si="7"/>
        <v>CARLA BRUT + REHAUSSE 13 25*50 VERRE</v>
      </c>
      <c r="AA95" s="39" t="s">
        <v>45</v>
      </c>
      <c r="AB95" s="39" t="s">
        <v>46</v>
      </c>
      <c r="AC95" s="47" t="str">
        <f t="shared" si="8"/>
        <v>CARLA BRUT + REHAUSSE 13 25*50 VERRE</v>
      </c>
      <c r="AD95" s="39" t="s">
        <v>47</v>
      </c>
      <c r="AE95" s="39" t="str">
        <f t="shared" si="9"/>
        <v>EVA  25*50 BRUT VERRE REHAUSSE 13mm - CADRES GALERIE - Pas de passepartout - Dos classique sans chevalet (Largeur 15mm Profondeur 30mm)</v>
      </c>
      <c r="AF95" s="39" t="str">
        <f t="shared" si="1"/>
        <v>EVA  25*50 BRUT VERRE REHAUSSE 13mm - CADRES GALERIE - Pas de passepartout - Dos classique sans chevalet (Largeur 15mm Profondeur 30mm)</v>
      </c>
      <c r="AG95" s="53">
        <f t="shared" si="10"/>
        <v>14.679785</v>
      </c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81.0</v>
      </c>
      <c r="B96" s="40" t="s">
        <v>153</v>
      </c>
      <c r="C96" s="41" t="s">
        <v>84</v>
      </c>
      <c r="D96" s="42" t="s">
        <v>176</v>
      </c>
      <c r="E96" s="43">
        <v>345707.0</v>
      </c>
      <c r="F96" s="44" t="s">
        <v>176</v>
      </c>
      <c r="G96" s="45">
        <v>2.0</v>
      </c>
      <c r="H96" s="54">
        <v>7.904504032011934</v>
      </c>
      <c r="I96" s="47" t="s">
        <v>39</v>
      </c>
      <c r="J96" s="39" t="str">
        <f t="shared" si="2"/>
        <v>072379 - CARLA</v>
      </c>
      <c r="K96" s="47">
        <f t="shared" si="3"/>
        <v>14.69125</v>
      </c>
      <c r="L96" s="48">
        <v>8.05</v>
      </c>
      <c r="M96" s="49">
        <f t="shared" si="4"/>
        <v>14.69125</v>
      </c>
      <c r="N96" s="39" t="s">
        <v>40</v>
      </c>
      <c r="O96" s="39" t="s">
        <v>41</v>
      </c>
      <c r="P96" s="39" t="s">
        <v>155</v>
      </c>
      <c r="Q96" s="47" t="str">
        <f t="shared" si="5"/>
        <v>29,7*42</v>
      </c>
      <c r="R96" s="50">
        <v>1.0</v>
      </c>
      <c r="S96" s="51">
        <v>1.0</v>
      </c>
      <c r="T96" s="51">
        <v>0.0</v>
      </c>
      <c r="U96" s="51">
        <v>0.0</v>
      </c>
      <c r="V96" s="47" t="s">
        <v>43</v>
      </c>
      <c r="W96" s="47" t="str">
        <f t="shared" si="6"/>
        <v>BRUT - 29,7*42 - REHAUSSE 13mm - (Largeur 15mm Profondeur 30mm)</v>
      </c>
      <c r="X96" s="50">
        <v>0.0</v>
      </c>
      <c r="Y96" s="52" t="s">
        <v>44</v>
      </c>
      <c r="Z96" s="47" t="str">
        <f t="shared" si="7"/>
        <v>CARLA BRUT + REHAUSSE 13 29,7*42 VERRE</v>
      </c>
      <c r="AA96" s="39" t="s">
        <v>45</v>
      </c>
      <c r="AB96" s="39" t="s">
        <v>46</v>
      </c>
      <c r="AC96" s="47" t="str">
        <f t="shared" si="8"/>
        <v>CARLA BRUT + REHAUSSE 13 29,7*42 VERRE</v>
      </c>
      <c r="AD96" s="39" t="s">
        <v>47</v>
      </c>
      <c r="AE96" s="39" t="str">
        <f t="shared" si="9"/>
        <v>EVA  29,7*42 BRUT VERRE REHAUSSE 13mm - CADRES GALERIE - Pas de passepartout - Dos classique sans chevalet (Largeur 15mm Profondeur 30mm)</v>
      </c>
      <c r="AF96" s="39" t="str">
        <f t="shared" si="1"/>
        <v>EVA  29,7*42 BRUT VERRE REHAUSSE 13mm - CADRES GALERIE - Pas de passepartout - Dos classique sans chevalet (Largeur 15mm Profondeur 30mm)</v>
      </c>
      <c r="AG96" s="53">
        <f t="shared" si="10"/>
        <v>14.22810726</v>
      </c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82.0</v>
      </c>
      <c r="B97" s="40" t="s">
        <v>153</v>
      </c>
      <c r="C97" s="41" t="s">
        <v>86</v>
      </c>
      <c r="D97" s="42" t="s">
        <v>177</v>
      </c>
      <c r="E97" s="43">
        <v>345707.0</v>
      </c>
      <c r="F97" s="44" t="s">
        <v>177</v>
      </c>
      <c r="G97" s="45">
        <v>8.0</v>
      </c>
      <c r="H97" s="54">
        <v>6.571279281049139</v>
      </c>
      <c r="I97" s="47" t="s">
        <v>39</v>
      </c>
      <c r="J97" s="39" t="str">
        <f t="shared" si="2"/>
        <v>072380 - CARLA</v>
      </c>
      <c r="K97" s="47">
        <f t="shared" si="3"/>
        <v>12.2275</v>
      </c>
      <c r="L97" s="48">
        <v>6.7</v>
      </c>
      <c r="M97" s="49">
        <f t="shared" si="4"/>
        <v>12.2275</v>
      </c>
      <c r="N97" s="39" t="s">
        <v>40</v>
      </c>
      <c r="O97" s="39" t="s">
        <v>41</v>
      </c>
      <c r="P97" s="39" t="s">
        <v>155</v>
      </c>
      <c r="Q97" s="47" t="str">
        <f t="shared" si="5"/>
        <v>30*30</v>
      </c>
      <c r="R97" s="50">
        <v>1.0</v>
      </c>
      <c r="S97" s="51">
        <v>1.0</v>
      </c>
      <c r="T97" s="51">
        <v>0.0</v>
      </c>
      <c r="U97" s="51">
        <v>0.0</v>
      </c>
      <c r="V97" s="47" t="s">
        <v>43</v>
      </c>
      <c r="W97" s="47" t="str">
        <f t="shared" si="6"/>
        <v>BRUT - 30*30 - REHAUSSE 13mm - (Largeur 15mm Profondeur 30mm)</v>
      </c>
      <c r="X97" s="50">
        <v>0.0</v>
      </c>
      <c r="Y97" s="52" t="s">
        <v>44</v>
      </c>
      <c r="Z97" s="47" t="str">
        <f t="shared" si="7"/>
        <v>CARLA BRUT + REHAUSSE 13 30*30 VERRE</v>
      </c>
      <c r="AA97" s="39" t="s">
        <v>45</v>
      </c>
      <c r="AB97" s="39" t="s">
        <v>46</v>
      </c>
      <c r="AC97" s="47" t="str">
        <f t="shared" si="8"/>
        <v>CARLA BRUT + REHAUSSE 13 30*30 VERRE</v>
      </c>
      <c r="AD97" s="39" t="s">
        <v>47</v>
      </c>
      <c r="AE97" s="39" t="str">
        <f t="shared" si="9"/>
        <v>EVA  30*30 BRUT VERRE REHAUSSE 13mm - CADRES GALERIE - Pas de passepartout - Dos classique sans chevalet (Largeur 15mm Profondeur 30mm)</v>
      </c>
      <c r="AF97" s="39" t="str">
        <f t="shared" si="1"/>
        <v>EVA  30*30 BRUT VERRE REHAUSSE 13mm - CADRES GALERIE - Pas de passepartout - Dos classique sans chevalet (Largeur 15mm Profondeur 30mm)</v>
      </c>
      <c r="AG97" s="53">
        <f t="shared" si="10"/>
        <v>11.82830271</v>
      </c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83.0</v>
      </c>
      <c r="B98" s="40" t="s">
        <v>153</v>
      </c>
      <c r="C98" s="41" t="s">
        <v>88</v>
      </c>
      <c r="D98" s="42" t="s">
        <v>178</v>
      </c>
      <c r="E98" s="43">
        <v>345707.0</v>
      </c>
      <c r="F98" s="44" t="s">
        <v>178</v>
      </c>
      <c r="G98" s="45">
        <v>5.0</v>
      </c>
      <c r="H98" s="54">
        <v>7.714823281930293</v>
      </c>
      <c r="I98" s="47" t="s">
        <v>39</v>
      </c>
      <c r="J98" s="39" t="str">
        <f t="shared" si="2"/>
        <v>072381 - CARLA</v>
      </c>
      <c r="K98" s="47">
        <f t="shared" si="3"/>
        <v>14.3445</v>
      </c>
      <c r="L98" s="48">
        <v>7.86</v>
      </c>
      <c r="M98" s="49">
        <f t="shared" si="4"/>
        <v>14.3445</v>
      </c>
      <c r="N98" s="39" t="s">
        <v>40</v>
      </c>
      <c r="O98" s="39" t="s">
        <v>41</v>
      </c>
      <c r="P98" s="39" t="s">
        <v>155</v>
      </c>
      <c r="Q98" s="47" t="str">
        <f t="shared" si="5"/>
        <v>30*40</v>
      </c>
      <c r="R98" s="50">
        <v>1.0</v>
      </c>
      <c r="S98" s="51">
        <v>1.0</v>
      </c>
      <c r="T98" s="51">
        <v>0.0</v>
      </c>
      <c r="U98" s="51">
        <v>0.0</v>
      </c>
      <c r="V98" s="47" t="s">
        <v>43</v>
      </c>
      <c r="W98" s="47" t="str">
        <f t="shared" si="6"/>
        <v>BRUT - 30*40 - REHAUSSE 13mm - (Largeur 15mm Profondeur 30mm)</v>
      </c>
      <c r="X98" s="50">
        <v>0.0</v>
      </c>
      <c r="Y98" s="52" t="s">
        <v>44</v>
      </c>
      <c r="Z98" s="47" t="str">
        <f t="shared" si="7"/>
        <v>CARLA BRUT + REHAUSSE 13 30*40 VERRE</v>
      </c>
      <c r="AA98" s="39" t="s">
        <v>45</v>
      </c>
      <c r="AB98" s="39" t="s">
        <v>46</v>
      </c>
      <c r="AC98" s="47" t="str">
        <f t="shared" si="8"/>
        <v>CARLA BRUT + REHAUSSE 13 30*40 VERRE</v>
      </c>
      <c r="AD98" s="39" t="s">
        <v>47</v>
      </c>
      <c r="AE98" s="39" t="str">
        <f t="shared" si="9"/>
        <v>EVA  30*40 BRUT VERRE REHAUSSE 13mm - CADRES GALERIE - Pas de passepartout - Dos classique sans chevalet (Largeur 15mm Profondeur 30mm)</v>
      </c>
      <c r="AF98" s="39" t="str">
        <f t="shared" si="1"/>
        <v>EVA  30*40 BRUT VERRE REHAUSSE 13mm - CADRES GALERIE - Pas de passepartout - Dos classique sans chevalet (Largeur 15mm Profondeur 30mm)</v>
      </c>
      <c r="AG98" s="53">
        <f t="shared" si="10"/>
        <v>13.88668191</v>
      </c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84.0</v>
      </c>
      <c r="B99" s="40" t="s">
        <v>153</v>
      </c>
      <c r="C99" s="41" t="s">
        <v>90</v>
      </c>
      <c r="D99" s="42" t="s">
        <v>179</v>
      </c>
      <c r="E99" s="43">
        <v>345707.0</v>
      </c>
      <c r="F99" s="44" t="s">
        <v>179</v>
      </c>
      <c r="G99" s="45">
        <v>2.0</v>
      </c>
      <c r="H99" s="54">
        <v>8.286595282370874</v>
      </c>
      <c r="I99" s="47" t="s">
        <v>39</v>
      </c>
      <c r="J99" s="39" t="str">
        <f t="shared" si="2"/>
        <v>072382 - CARLA</v>
      </c>
      <c r="K99" s="47">
        <f t="shared" si="3"/>
        <v>15.403</v>
      </c>
      <c r="L99" s="48">
        <v>8.44</v>
      </c>
      <c r="M99" s="49">
        <f t="shared" si="4"/>
        <v>15.403</v>
      </c>
      <c r="N99" s="39" t="s">
        <v>40</v>
      </c>
      <c r="O99" s="39" t="s">
        <v>41</v>
      </c>
      <c r="P99" s="39" t="s">
        <v>155</v>
      </c>
      <c r="Q99" s="47" t="str">
        <f t="shared" si="5"/>
        <v>30*45</v>
      </c>
      <c r="R99" s="50">
        <v>1.0</v>
      </c>
      <c r="S99" s="51">
        <v>1.0</v>
      </c>
      <c r="T99" s="51">
        <v>0.0</v>
      </c>
      <c r="U99" s="51">
        <v>0.0</v>
      </c>
      <c r="V99" s="47" t="s">
        <v>43</v>
      </c>
      <c r="W99" s="47" t="str">
        <f t="shared" si="6"/>
        <v>BRUT - 30*45 - REHAUSSE 13mm - (Largeur 15mm Profondeur 30mm)</v>
      </c>
      <c r="X99" s="50">
        <v>0.0</v>
      </c>
      <c r="Y99" s="52" t="s">
        <v>44</v>
      </c>
      <c r="Z99" s="47" t="str">
        <f t="shared" si="7"/>
        <v>CARLA BRUT + REHAUSSE 13 30*45 VERRE</v>
      </c>
      <c r="AA99" s="39" t="s">
        <v>45</v>
      </c>
      <c r="AB99" s="39" t="s">
        <v>46</v>
      </c>
      <c r="AC99" s="47" t="str">
        <f t="shared" si="8"/>
        <v>CARLA BRUT + REHAUSSE 13 30*45 VERRE</v>
      </c>
      <c r="AD99" s="39" t="s">
        <v>47</v>
      </c>
      <c r="AE99" s="39" t="str">
        <f t="shared" si="9"/>
        <v>EVA  30*45 BRUT VERRE REHAUSSE 13mm - CADRES GALERIE - Pas de passepartout - Dos classique sans chevalet (Largeur 15mm Profondeur 30mm)</v>
      </c>
      <c r="AF99" s="39" t="str">
        <f t="shared" si="1"/>
        <v>EVA  30*45 BRUT VERRE REHAUSSE 13mm - CADRES GALERIE - Pas de passepartout - Dos classique sans chevalet (Largeur 15mm Profondeur 30mm)</v>
      </c>
      <c r="AG99" s="53">
        <f t="shared" si="10"/>
        <v>14.91587151</v>
      </c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85.0</v>
      </c>
      <c r="B100" s="40" t="s">
        <v>153</v>
      </c>
      <c r="C100" s="41" t="s">
        <v>92</v>
      </c>
      <c r="D100" s="42" t="s">
        <v>180</v>
      </c>
      <c r="E100" s="43">
        <v>345707.0</v>
      </c>
      <c r="F100" s="44" t="s">
        <v>180</v>
      </c>
      <c r="G100" s="45">
        <v>9.0</v>
      </c>
      <c r="H100" s="54">
        <v>14.60313886573269</v>
      </c>
      <c r="I100" s="47" t="s">
        <v>39</v>
      </c>
      <c r="J100" s="39" t="str">
        <f t="shared" si="2"/>
        <v>072383 - CARLA</v>
      </c>
      <c r="K100" s="47">
        <f t="shared" si="3"/>
        <v>27.156</v>
      </c>
      <c r="L100" s="48">
        <v>14.88</v>
      </c>
      <c r="M100" s="49">
        <f t="shared" si="4"/>
        <v>27.156</v>
      </c>
      <c r="N100" s="39" t="s">
        <v>40</v>
      </c>
      <c r="O100" s="39" t="s">
        <v>41</v>
      </c>
      <c r="P100" s="39" t="s">
        <v>155</v>
      </c>
      <c r="Q100" s="47" t="str">
        <f t="shared" si="5"/>
        <v>33*95</v>
      </c>
      <c r="R100" s="50">
        <v>1.0</v>
      </c>
      <c r="S100" s="51">
        <v>1.0</v>
      </c>
      <c r="T100" s="51">
        <v>0.0</v>
      </c>
      <c r="U100" s="51">
        <v>0.0</v>
      </c>
      <c r="V100" s="47" t="s">
        <v>43</v>
      </c>
      <c r="W100" s="47" t="str">
        <f t="shared" si="6"/>
        <v>BRUT - 33*95 - REHAUSSE 13mm - (Largeur 15mm Profondeur 30mm)</v>
      </c>
      <c r="X100" s="50">
        <v>0.0</v>
      </c>
      <c r="Y100" s="52" t="s">
        <v>44</v>
      </c>
      <c r="Z100" s="47" t="str">
        <f t="shared" si="7"/>
        <v>CARLA BRUT + REHAUSSE 13 33*95 VERRE</v>
      </c>
      <c r="AA100" s="39" t="s">
        <v>45</v>
      </c>
      <c r="AB100" s="39" t="s">
        <v>46</v>
      </c>
      <c r="AC100" s="47" t="str">
        <f t="shared" si="8"/>
        <v>CARLA BRUT + REHAUSSE 13 33*95 VERRE</v>
      </c>
      <c r="AD100" s="39" t="s">
        <v>47</v>
      </c>
      <c r="AE100" s="39" t="str">
        <f t="shared" si="9"/>
        <v>EVA  33*95 BRUT VERRE REHAUSSE 13mm - CADRES GALERIE - Pas de passepartout - Dos classique sans chevalet (Largeur 15mm Profondeur 30mm)</v>
      </c>
      <c r="AF100" s="39" t="str">
        <f t="shared" si="1"/>
        <v>EVA  33*95 BRUT VERRE REHAUSSE 13mm - CADRES GALERIE - Pas de passepartout - Dos classique sans chevalet (Largeur 15mm Profondeur 30mm)</v>
      </c>
      <c r="AG100" s="53">
        <f t="shared" si="10"/>
        <v>26.28564996</v>
      </c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86.0</v>
      </c>
      <c r="B101" s="40" t="s">
        <v>153</v>
      </c>
      <c r="C101" s="41" t="s">
        <v>94</v>
      </c>
      <c r="D101" s="42" t="s">
        <v>181</v>
      </c>
      <c r="E101" s="43">
        <v>345707.0</v>
      </c>
      <c r="F101" s="44" t="s">
        <v>181</v>
      </c>
      <c r="G101" s="45">
        <v>6.0</v>
      </c>
      <c r="H101" s="54">
        <v>8.989526451371292</v>
      </c>
      <c r="I101" s="47" t="s">
        <v>39</v>
      </c>
      <c r="J101" s="39" t="str">
        <f t="shared" si="2"/>
        <v>072384 - CARLA</v>
      </c>
      <c r="K101" s="47">
        <f t="shared" si="3"/>
        <v>16.717</v>
      </c>
      <c r="L101" s="48">
        <v>9.16</v>
      </c>
      <c r="M101" s="49">
        <f t="shared" si="4"/>
        <v>16.717</v>
      </c>
      <c r="N101" s="39" t="s">
        <v>40</v>
      </c>
      <c r="O101" s="39" t="s">
        <v>41</v>
      </c>
      <c r="P101" s="39" t="s">
        <v>155</v>
      </c>
      <c r="Q101" s="47" t="str">
        <f t="shared" si="5"/>
        <v>40*40</v>
      </c>
      <c r="R101" s="50">
        <v>1.0</v>
      </c>
      <c r="S101" s="51">
        <v>1.0</v>
      </c>
      <c r="T101" s="51">
        <v>0.0</v>
      </c>
      <c r="U101" s="51">
        <v>0.0</v>
      </c>
      <c r="V101" s="47" t="s">
        <v>43</v>
      </c>
      <c r="W101" s="47" t="str">
        <f t="shared" si="6"/>
        <v>BRUT - 40*40 - REHAUSSE 13mm - (Largeur 15mm Profondeur 30mm)</v>
      </c>
      <c r="X101" s="50">
        <v>0.0</v>
      </c>
      <c r="Y101" s="52" t="s">
        <v>44</v>
      </c>
      <c r="Z101" s="47" t="str">
        <f t="shared" si="7"/>
        <v>CARLA BRUT + REHAUSSE 13 40*40 VERRE</v>
      </c>
      <c r="AA101" s="39" t="s">
        <v>45</v>
      </c>
      <c r="AB101" s="39" t="s">
        <v>46</v>
      </c>
      <c r="AC101" s="47" t="str">
        <f t="shared" si="8"/>
        <v>CARLA BRUT + REHAUSSE 13 40*40 VERRE</v>
      </c>
      <c r="AD101" s="39" t="s">
        <v>47</v>
      </c>
      <c r="AE101" s="39" t="str">
        <f t="shared" si="9"/>
        <v>EVA  40*40 BRUT VERRE REHAUSSE 13mm - CADRES GALERIE - Pas de passepartout - Dos classique sans chevalet (Largeur 15mm Profondeur 30mm)</v>
      </c>
      <c r="AF101" s="39" t="str">
        <f t="shared" si="1"/>
        <v>EVA  40*40 BRUT VERRE REHAUSSE 13mm - CADRES GALERIE - Pas de passepartout - Dos classique sans chevalet (Largeur 15mm Profondeur 30mm)</v>
      </c>
      <c r="AG101" s="53">
        <f t="shared" si="10"/>
        <v>16.18114761</v>
      </c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87.0</v>
      </c>
      <c r="B102" s="40" t="s">
        <v>153</v>
      </c>
      <c r="C102" s="41" t="s">
        <v>96</v>
      </c>
      <c r="D102" s="42" t="s">
        <v>182</v>
      </c>
      <c r="E102" s="43">
        <v>345707.0</v>
      </c>
      <c r="F102" s="44" t="s">
        <v>182</v>
      </c>
      <c r="G102" s="45">
        <v>3.0</v>
      </c>
      <c r="H102" s="54">
        <v>10.264229620812298</v>
      </c>
      <c r="I102" s="47" t="s">
        <v>39</v>
      </c>
      <c r="J102" s="39" t="str">
        <f t="shared" si="2"/>
        <v>072385 - CARLA</v>
      </c>
      <c r="K102" s="47">
        <f t="shared" si="3"/>
        <v>19.0895</v>
      </c>
      <c r="L102" s="48">
        <v>10.46</v>
      </c>
      <c r="M102" s="49">
        <f t="shared" si="4"/>
        <v>19.0895</v>
      </c>
      <c r="N102" s="39" t="s">
        <v>40</v>
      </c>
      <c r="O102" s="39" t="s">
        <v>41</v>
      </c>
      <c r="P102" s="39" t="s">
        <v>155</v>
      </c>
      <c r="Q102" s="47" t="str">
        <f t="shared" si="5"/>
        <v>40*50</v>
      </c>
      <c r="R102" s="50">
        <v>1.0</v>
      </c>
      <c r="S102" s="51">
        <v>1.0</v>
      </c>
      <c r="T102" s="51">
        <v>0.0</v>
      </c>
      <c r="U102" s="51">
        <v>0.0</v>
      </c>
      <c r="V102" s="47" t="s">
        <v>43</v>
      </c>
      <c r="W102" s="47" t="str">
        <f t="shared" si="6"/>
        <v>BRUT - 40*50 - REHAUSSE 13mm - (Largeur 15mm Profondeur 30mm)</v>
      </c>
      <c r="X102" s="50">
        <v>0.0</v>
      </c>
      <c r="Y102" s="52" t="s">
        <v>44</v>
      </c>
      <c r="Z102" s="47" t="str">
        <f t="shared" si="7"/>
        <v>CARLA BRUT + REHAUSSE 13 40*50 VERRE</v>
      </c>
      <c r="AA102" s="39" t="s">
        <v>45</v>
      </c>
      <c r="AB102" s="39" t="s">
        <v>46</v>
      </c>
      <c r="AC102" s="47" t="str">
        <f t="shared" si="8"/>
        <v>CARLA BRUT + REHAUSSE 13 40*50 VERRE</v>
      </c>
      <c r="AD102" s="39" t="s">
        <v>47</v>
      </c>
      <c r="AE102" s="39" t="str">
        <f t="shared" si="9"/>
        <v>EVA  40*50 BRUT VERRE REHAUSSE 13mm - CADRES GALERIE - Pas de passepartout - Dos classique sans chevalet (Largeur 15mm Profondeur 30mm)</v>
      </c>
      <c r="AF102" s="39" t="str">
        <f t="shared" si="1"/>
        <v>EVA  40*50 BRUT VERRE REHAUSSE 13mm - CADRES GALERIE - Pas de passepartout - Dos classique sans chevalet (Largeur 15mm Profondeur 30mm)</v>
      </c>
      <c r="AG102" s="53">
        <f t="shared" si="10"/>
        <v>18.47561332</v>
      </c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88.0</v>
      </c>
      <c r="B103" s="40" t="s">
        <v>153</v>
      </c>
      <c r="C103" s="41" t="s">
        <v>98</v>
      </c>
      <c r="D103" s="42" t="s">
        <v>183</v>
      </c>
      <c r="E103" s="43">
        <v>345707.0</v>
      </c>
      <c r="F103" s="44" t="s">
        <v>183</v>
      </c>
      <c r="G103" s="45">
        <v>0.0</v>
      </c>
      <c r="H103" s="54">
        <v>11.538932790253291</v>
      </c>
      <c r="I103" s="47" t="s">
        <v>39</v>
      </c>
      <c r="J103" s="39" t="str">
        <f t="shared" si="2"/>
        <v>072386 - CARLA</v>
      </c>
      <c r="K103" s="47">
        <f t="shared" si="3"/>
        <v>21.462</v>
      </c>
      <c r="L103" s="48">
        <v>11.76</v>
      </c>
      <c r="M103" s="49">
        <f t="shared" si="4"/>
        <v>21.462</v>
      </c>
      <c r="N103" s="39" t="s">
        <v>40</v>
      </c>
      <c r="O103" s="39" t="s">
        <v>41</v>
      </c>
      <c r="P103" s="39" t="s">
        <v>155</v>
      </c>
      <c r="Q103" s="47" t="str">
        <f t="shared" si="5"/>
        <v>40*60</v>
      </c>
      <c r="R103" s="50">
        <v>1.0</v>
      </c>
      <c r="S103" s="51">
        <v>1.0</v>
      </c>
      <c r="T103" s="51">
        <v>0.0</v>
      </c>
      <c r="U103" s="51">
        <v>0.0</v>
      </c>
      <c r="V103" s="47" t="s">
        <v>43</v>
      </c>
      <c r="W103" s="47" t="str">
        <f t="shared" si="6"/>
        <v>BRUT - 40*60 - REHAUSSE 13mm - (Largeur 15mm Profondeur 30mm)</v>
      </c>
      <c r="X103" s="50">
        <v>0.0</v>
      </c>
      <c r="Y103" s="52" t="s">
        <v>44</v>
      </c>
      <c r="Z103" s="47" t="str">
        <f t="shared" si="7"/>
        <v>CARLA BRUT + REHAUSSE 13 40*60 VERRE</v>
      </c>
      <c r="AA103" s="39" t="s">
        <v>45</v>
      </c>
      <c r="AB103" s="39" t="s">
        <v>46</v>
      </c>
      <c r="AC103" s="47" t="str">
        <f t="shared" si="8"/>
        <v>CARLA BRUT + REHAUSSE 13 40*60 VERRE</v>
      </c>
      <c r="AD103" s="39" t="s">
        <v>47</v>
      </c>
      <c r="AE103" s="39" t="str">
        <f t="shared" si="9"/>
        <v>EVA  40*60 BRUT VERRE REHAUSSE 13mm - CADRES GALERIE - Pas de passepartout - Dos classique sans chevalet (Largeur 15mm Profondeur 30mm)</v>
      </c>
      <c r="AF103" s="39" t="str">
        <f t="shared" si="1"/>
        <v>EVA  40*60 BRUT VERRE REHAUSSE 13mm - CADRES GALERIE - Pas de passepartout - Dos classique sans chevalet (Largeur 15mm Profondeur 30mm)</v>
      </c>
      <c r="AG103" s="53">
        <f t="shared" si="10"/>
        <v>20.77007902</v>
      </c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89.0</v>
      </c>
      <c r="B104" s="40" t="s">
        <v>153</v>
      </c>
      <c r="C104" s="41" t="s">
        <v>100</v>
      </c>
      <c r="D104" s="42" t="s">
        <v>184</v>
      </c>
      <c r="E104" s="43">
        <v>345707.0</v>
      </c>
      <c r="F104" s="44" t="s">
        <v>184</v>
      </c>
      <c r="G104" s="45">
        <v>9.0</v>
      </c>
      <c r="H104" s="54">
        <v>12.055148624531249</v>
      </c>
      <c r="I104" s="47" t="s">
        <v>39</v>
      </c>
      <c r="J104" s="39" t="str">
        <f t="shared" si="2"/>
        <v>068139 - CARLA</v>
      </c>
      <c r="K104" s="47">
        <f t="shared" si="3"/>
        <v>22.411</v>
      </c>
      <c r="L104" s="48">
        <v>12.28</v>
      </c>
      <c r="M104" s="49">
        <f t="shared" si="4"/>
        <v>22.411</v>
      </c>
      <c r="N104" s="39" t="s">
        <v>40</v>
      </c>
      <c r="O104" s="39" t="s">
        <v>41</v>
      </c>
      <c r="P104" s="39" t="s">
        <v>155</v>
      </c>
      <c r="Q104" s="47" t="str">
        <f t="shared" si="5"/>
        <v>42*59,4</v>
      </c>
      <c r="R104" s="50">
        <v>1.0</v>
      </c>
      <c r="S104" s="51">
        <v>1.0</v>
      </c>
      <c r="T104" s="51">
        <v>0.0</v>
      </c>
      <c r="U104" s="51">
        <v>0.0</v>
      </c>
      <c r="V104" s="47" t="s">
        <v>43</v>
      </c>
      <c r="W104" s="47" t="str">
        <f t="shared" si="6"/>
        <v>BRUT - 42*59,4 - REHAUSSE 13mm - (Largeur 15mm Profondeur 30mm)</v>
      </c>
      <c r="X104" s="50">
        <v>0.0</v>
      </c>
      <c r="Y104" s="52" t="s">
        <v>44</v>
      </c>
      <c r="Z104" s="47" t="str">
        <f t="shared" si="7"/>
        <v>CARLA BRUT + REHAUSSE 13 42*59,4 VERRE</v>
      </c>
      <c r="AA104" s="39" t="s">
        <v>45</v>
      </c>
      <c r="AB104" s="39" t="s">
        <v>46</v>
      </c>
      <c r="AC104" s="47" t="str">
        <f t="shared" si="8"/>
        <v>CARLA BRUT + REHAUSSE 13 42*59,4 VERRE</v>
      </c>
      <c r="AD104" s="39" t="s">
        <v>47</v>
      </c>
      <c r="AE104" s="39" t="str">
        <f t="shared" si="9"/>
        <v>EVA  42*59,4 BRUT VERRE REHAUSSE 13mm - CADRES GALERIE - Pas de passepartout - Dos classique sans chevalet (Largeur 15mm Profondeur 30mm)</v>
      </c>
      <c r="AF104" s="39" t="str">
        <f t="shared" si="1"/>
        <v>EVA  42*59,4 BRUT VERRE REHAUSSE 13mm - CADRES GALERIE - Pas de passepartout - Dos classique sans chevalet (Largeur 15mm Profondeur 30mm)</v>
      </c>
      <c r="AG104" s="53">
        <f t="shared" si="10"/>
        <v>21.69926752</v>
      </c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90.0</v>
      </c>
      <c r="B105" s="40" t="s">
        <v>153</v>
      </c>
      <c r="C105" s="41" t="s">
        <v>102</v>
      </c>
      <c r="D105" s="42" t="s">
        <v>185</v>
      </c>
      <c r="E105" s="43">
        <v>345707.0</v>
      </c>
      <c r="F105" s="44" t="s">
        <v>185</v>
      </c>
      <c r="G105" s="45">
        <v>7.0</v>
      </c>
      <c r="H105" s="54">
        <v>12.596485561247402</v>
      </c>
      <c r="I105" s="47" t="s">
        <v>39</v>
      </c>
      <c r="J105" s="39" t="str">
        <f t="shared" si="2"/>
        <v>072387 - CARLA</v>
      </c>
      <c r="K105" s="47">
        <f t="shared" si="3"/>
        <v>23.433</v>
      </c>
      <c r="L105" s="48">
        <v>12.84</v>
      </c>
      <c r="M105" s="49">
        <f t="shared" si="4"/>
        <v>23.433</v>
      </c>
      <c r="N105" s="39" t="s">
        <v>40</v>
      </c>
      <c r="O105" s="39" t="s">
        <v>41</v>
      </c>
      <c r="P105" s="39" t="s">
        <v>155</v>
      </c>
      <c r="Q105" s="47" t="str">
        <f t="shared" si="5"/>
        <v>46*61</v>
      </c>
      <c r="R105" s="50">
        <v>1.0</v>
      </c>
      <c r="S105" s="51">
        <v>1.0</v>
      </c>
      <c r="T105" s="51">
        <v>0.0</v>
      </c>
      <c r="U105" s="51">
        <v>0.0</v>
      </c>
      <c r="V105" s="47" t="s">
        <v>43</v>
      </c>
      <c r="W105" s="47" t="str">
        <f t="shared" si="6"/>
        <v>BRUT - 46*61 - REHAUSSE 13mm - (Largeur 15mm Profondeur 30mm)</v>
      </c>
      <c r="X105" s="50">
        <v>0.0</v>
      </c>
      <c r="Y105" s="52" t="s">
        <v>44</v>
      </c>
      <c r="Z105" s="47" t="str">
        <f t="shared" si="7"/>
        <v>CARLA BRUT + REHAUSSE 13 46*61 VERRE</v>
      </c>
      <c r="AA105" s="39" t="s">
        <v>45</v>
      </c>
      <c r="AB105" s="39" t="s">
        <v>46</v>
      </c>
      <c r="AC105" s="47" t="str">
        <f t="shared" si="8"/>
        <v>CARLA BRUT + REHAUSSE 13 46*61 VERRE</v>
      </c>
      <c r="AD105" s="39" t="s">
        <v>47</v>
      </c>
      <c r="AE105" s="39" t="str">
        <f t="shared" si="9"/>
        <v>EVA  46*61 BRUT VERRE REHAUSSE 13mm - CADRES GALERIE - Pas de passepartout - Dos classique sans chevalet (Largeur 15mm Profondeur 30mm)</v>
      </c>
      <c r="AF105" s="39" t="str">
        <f t="shared" si="1"/>
        <v>EVA  46*61 BRUT VERRE REHAUSSE 13mm - CADRES GALERIE - Pas de passepartout - Dos classique sans chevalet (Largeur 15mm Profondeur 30mm)</v>
      </c>
      <c r="AG105" s="53">
        <f t="shared" si="10"/>
        <v>22.67367401</v>
      </c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91.0</v>
      </c>
      <c r="B106" s="40" t="s">
        <v>153</v>
      </c>
      <c r="C106" s="41" t="s">
        <v>104</v>
      </c>
      <c r="D106" s="42" t="s">
        <v>186</v>
      </c>
      <c r="E106" s="43">
        <v>345707.0</v>
      </c>
      <c r="F106" s="44" t="s">
        <v>186</v>
      </c>
      <c r="G106" s="45">
        <v>0.0</v>
      </c>
      <c r="H106" s="54">
        <v>11.670091958813138</v>
      </c>
      <c r="I106" s="47" t="s">
        <v>39</v>
      </c>
      <c r="J106" s="39" t="str">
        <f t="shared" si="2"/>
        <v>072388 - CARLA</v>
      </c>
      <c r="K106" s="47">
        <f t="shared" si="3"/>
        <v>21.69925</v>
      </c>
      <c r="L106" s="48">
        <v>11.89</v>
      </c>
      <c r="M106" s="49">
        <f t="shared" si="4"/>
        <v>21.69925</v>
      </c>
      <c r="N106" s="39" t="s">
        <v>40</v>
      </c>
      <c r="O106" s="39" t="s">
        <v>41</v>
      </c>
      <c r="P106" s="39" t="s">
        <v>155</v>
      </c>
      <c r="Q106" s="47" t="str">
        <f t="shared" si="5"/>
        <v>50*50</v>
      </c>
      <c r="R106" s="50">
        <v>1.0</v>
      </c>
      <c r="S106" s="51">
        <v>1.0</v>
      </c>
      <c r="T106" s="51">
        <v>0.0</v>
      </c>
      <c r="U106" s="51">
        <v>0.0</v>
      </c>
      <c r="V106" s="47" t="s">
        <v>43</v>
      </c>
      <c r="W106" s="47" t="str">
        <f t="shared" si="6"/>
        <v>BRUT - 50*50 - REHAUSSE 13mm - (Largeur 15mm Profondeur 30mm)</v>
      </c>
      <c r="X106" s="50">
        <v>0.0</v>
      </c>
      <c r="Y106" s="52" t="s">
        <v>44</v>
      </c>
      <c r="Z106" s="47" t="str">
        <f t="shared" si="7"/>
        <v>CARLA BRUT + REHAUSSE 13 50*50 VERRE</v>
      </c>
      <c r="AA106" s="39" t="s">
        <v>45</v>
      </c>
      <c r="AB106" s="39" t="s">
        <v>46</v>
      </c>
      <c r="AC106" s="47" t="str">
        <f t="shared" si="8"/>
        <v>CARLA BRUT + REHAUSSE 13 50*50 VERRE</v>
      </c>
      <c r="AD106" s="39" t="s">
        <v>47</v>
      </c>
      <c r="AE106" s="39" t="str">
        <f t="shared" si="9"/>
        <v>EVA  50*50 BRUT VERRE REHAUSSE 13mm - CADRES GALERIE - Pas de passepartout - Dos classique sans chevalet (Largeur 15mm Profondeur 30mm)</v>
      </c>
      <c r="AF106" s="39" t="str">
        <f t="shared" si="1"/>
        <v>EVA  50*50 BRUT VERRE REHAUSSE 13mm - CADRES GALERIE - Pas de passepartout - Dos classique sans chevalet (Largeur 15mm Profondeur 30mm)</v>
      </c>
      <c r="AG106" s="53">
        <f t="shared" si="10"/>
        <v>21.00616553</v>
      </c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92.0</v>
      </c>
      <c r="B107" s="40" t="s">
        <v>153</v>
      </c>
      <c r="C107" s="41" t="s">
        <v>106</v>
      </c>
      <c r="D107" s="42" t="s">
        <v>187</v>
      </c>
      <c r="E107" s="43">
        <v>345707.0</v>
      </c>
      <c r="F107" s="44" t="s">
        <v>187</v>
      </c>
      <c r="G107" s="45">
        <v>0.0</v>
      </c>
      <c r="H107" s="54">
        <v>13.075954296813988</v>
      </c>
      <c r="I107" s="47" t="s">
        <v>39</v>
      </c>
      <c r="J107" s="39" t="str">
        <f t="shared" si="2"/>
        <v>072389 - CARLA</v>
      </c>
      <c r="K107" s="47">
        <f t="shared" si="3"/>
        <v>24.309</v>
      </c>
      <c r="L107" s="48">
        <v>13.32</v>
      </c>
      <c r="M107" s="49">
        <f t="shared" si="4"/>
        <v>24.309</v>
      </c>
      <c r="N107" s="39" t="s">
        <v>40</v>
      </c>
      <c r="O107" s="39" t="s">
        <v>41</v>
      </c>
      <c r="P107" s="39" t="s">
        <v>155</v>
      </c>
      <c r="Q107" s="47" t="str">
        <f t="shared" si="5"/>
        <v>50*60</v>
      </c>
      <c r="R107" s="50">
        <v>1.0</v>
      </c>
      <c r="S107" s="51">
        <v>1.0</v>
      </c>
      <c r="T107" s="51">
        <v>0.0</v>
      </c>
      <c r="U107" s="51">
        <v>0.0</v>
      </c>
      <c r="V107" s="47" t="s">
        <v>43</v>
      </c>
      <c r="W107" s="47" t="str">
        <f t="shared" si="6"/>
        <v>BRUT - 50*60 - REHAUSSE 13mm - (Largeur 15mm Profondeur 30mm)</v>
      </c>
      <c r="X107" s="50">
        <v>0.0</v>
      </c>
      <c r="Y107" s="52" t="s">
        <v>44</v>
      </c>
      <c r="Z107" s="47" t="str">
        <f t="shared" si="7"/>
        <v>CARLA BRUT + REHAUSSE 13 50*60 VERRE</v>
      </c>
      <c r="AA107" s="39" t="s">
        <v>45</v>
      </c>
      <c r="AB107" s="39" t="s">
        <v>46</v>
      </c>
      <c r="AC107" s="47" t="str">
        <f t="shared" si="8"/>
        <v>CARLA BRUT + REHAUSSE 13 50*60 VERRE</v>
      </c>
      <c r="AD107" s="39" t="s">
        <v>47</v>
      </c>
      <c r="AE107" s="39" t="str">
        <f t="shared" si="9"/>
        <v>EVA  50*60 BRUT VERRE REHAUSSE 13mm - CADRES GALERIE - Pas de passepartout - Dos classique sans chevalet (Largeur 15mm Profondeur 30mm)</v>
      </c>
      <c r="AF107" s="39" t="str">
        <f t="shared" si="1"/>
        <v>EVA  50*60 BRUT VERRE REHAUSSE 13mm - CADRES GALERIE - Pas de passepartout - Dos classique sans chevalet (Largeur 15mm Profondeur 30mm)</v>
      </c>
      <c r="AG107" s="53">
        <f t="shared" si="10"/>
        <v>23.53671773</v>
      </c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93.0</v>
      </c>
      <c r="B108" s="40" t="s">
        <v>153</v>
      </c>
      <c r="C108" s="41" t="s">
        <v>108</v>
      </c>
      <c r="D108" s="42" t="s">
        <v>188</v>
      </c>
      <c r="E108" s="43">
        <v>345707.0</v>
      </c>
      <c r="F108" s="44" t="s">
        <v>188</v>
      </c>
      <c r="G108" s="45">
        <v>7.0</v>
      </c>
      <c r="H108" s="54">
        <v>13.778885465814405</v>
      </c>
      <c r="I108" s="47" t="s">
        <v>39</v>
      </c>
      <c r="J108" s="39" t="str">
        <f t="shared" si="2"/>
        <v>072390 - CARLA</v>
      </c>
      <c r="K108" s="47">
        <f t="shared" si="3"/>
        <v>25.623</v>
      </c>
      <c r="L108" s="48">
        <v>14.04</v>
      </c>
      <c r="M108" s="49">
        <f t="shared" si="4"/>
        <v>25.623</v>
      </c>
      <c r="N108" s="39" t="s">
        <v>40</v>
      </c>
      <c r="O108" s="39" t="s">
        <v>41</v>
      </c>
      <c r="P108" s="39" t="s">
        <v>155</v>
      </c>
      <c r="Q108" s="47" t="str">
        <f t="shared" si="5"/>
        <v>50*65</v>
      </c>
      <c r="R108" s="50">
        <v>1.0</v>
      </c>
      <c r="S108" s="51">
        <v>1.0</v>
      </c>
      <c r="T108" s="51">
        <v>0.0</v>
      </c>
      <c r="U108" s="51">
        <v>0.0</v>
      </c>
      <c r="V108" s="47" t="s">
        <v>43</v>
      </c>
      <c r="W108" s="47" t="str">
        <f t="shared" si="6"/>
        <v>BRUT - 50*65 - REHAUSSE 13mm - (Largeur 15mm Profondeur 30mm)</v>
      </c>
      <c r="X108" s="50">
        <v>0.0</v>
      </c>
      <c r="Y108" s="52" t="s">
        <v>44</v>
      </c>
      <c r="Z108" s="47" t="str">
        <f t="shared" si="7"/>
        <v>CARLA BRUT + REHAUSSE 13 50*65 VERRE</v>
      </c>
      <c r="AA108" s="39" t="s">
        <v>45</v>
      </c>
      <c r="AB108" s="39" t="s">
        <v>46</v>
      </c>
      <c r="AC108" s="47" t="str">
        <f t="shared" si="8"/>
        <v>CARLA BRUT + REHAUSSE 13 50*65 VERRE</v>
      </c>
      <c r="AD108" s="39" t="s">
        <v>47</v>
      </c>
      <c r="AE108" s="39" t="str">
        <f t="shared" si="9"/>
        <v>EVA  50*65 BRUT VERRE REHAUSSE 13mm - CADRES GALERIE - Pas de passepartout - Dos classique sans chevalet (Largeur 15mm Profondeur 30mm)</v>
      </c>
      <c r="AF108" s="39" t="str">
        <f t="shared" si="1"/>
        <v>EVA  50*65 BRUT VERRE REHAUSSE 13mm - CADRES GALERIE - Pas de passepartout - Dos classique sans chevalet (Largeur 15mm Profondeur 30mm)</v>
      </c>
      <c r="AG108" s="53">
        <f t="shared" si="10"/>
        <v>24.80199384</v>
      </c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94.0</v>
      </c>
      <c r="B109" s="40" t="s">
        <v>153</v>
      </c>
      <c r="C109" s="41" t="s">
        <v>110</v>
      </c>
      <c r="D109" s="42" t="s">
        <v>189</v>
      </c>
      <c r="E109" s="43">
        <v>345707.0</v>
      </c>
      <c r="F109" s="44" t="s">
        <v>189</v>
      </c>
      <c r="G109" s="45">
        <v>4.0</v>
      </c>
      <c r="H109" s="54">
        <v>14.481816634814832</v>
      </c>
      <c r="I109" s="47" t="s">
        <v>39</v>
      </c>
      <c r="J109" s="39" t="str">
        <f t="shared" si="2"/>
        <v>072391 - CARLA</v>
      </c>
      <c r="K109" s="47">
        <f t="shared" si="3"/>
        <v>26.937</v>
      </c>
      <c r="L109" s="48">
        <v>14.76</v>
      </c>
      <c r="M109" s="49">
        <f t="shared" si="4"/>
        <v>26.937</v>
      </c>
      <c r="N109" s="39" t="s">
        <v>40</v>
      </c>
      <c r="O109" s="39" t="s">
        <v>41</v>
      </c>
      <c r="P109" s="39" t="s">
        <v>155</v>
      </c>
      <c r="Q109" s="47" t="str">
        <f t="shared" si="5"/>
        <v>50*70</v>
      </c>
      <c r="R109" s="50">
        <v>1.0</v>
      </c>
      <c r="S109" s="51">
        <v>1.0</v>
      </c>
      <c r="T109" s="51">
        <v>0.0</v>
      </c>
      <c r="U109" s="51">
        <v>0.0</v>
      </c>
      <c r="V109" s="47" t="s">
        <v>43</v>
      </c>
      <c r="W109" s="47" t="str">
        <f t="shared" si="6"/>
        <v>BRUT - 50*70 - REHAUSSE 13mm - (Largeur 15mm Profondeur 30mm)</v>
      </c>
      <c r="X109" s="50">
        <v>0.0</v>
      </c>
      <c r="Y109" s="52" t="s">
        <v>44</v>
      </c>
      <c r="Z109" s="47" t="str">
        <f t="shared" si="7"/>
        <v>CARLA BRUT + REHAUSSE 13 50*70 VERRE</v>
      </c>
      <c r="AA109" s="39" t="s">
        <v>45</v>
      </c>
      <c r="AB109" s="39" t="s">
        <v>46</v>
      </c>
      <c r="AC109" s="47" t="str">
        <f t="shared" si="8"/>
        <v>CARLA BRUT + REHAUSSE 13 50*70 VERRE</v>
      </c>
      <c r="AD109" s="39" t="s">
        <v>47</v>
      </c>
      <c r="AE109" s="39" t="str">
        <f t="shared" si="9"/>
        <v>EVA  50*70 BRUT VERRE REHAUSSE 13mm - CADRES GALERIE - Pas de passepartout - Dos classique sans chevalet (Largeur 15mm Profondeur 30mm)</v>
      </c>
      <c r="AF109" s="39" t="str">
        <f t="shared" si="1"/>
        <v>EVA  50*70 BRUT VERRE REHAUSSE 13mm - CADRES GALERIE - Pas de passepartout - Dos classique sans chevalet (Largeur 15mm Profondeur 30mm)</v>
      </c>
      <c r="AG109" s="53">
        <f t="shared" si="10"/>
        <v>26.06726994</v>
      </c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95.0</v>
      </c>
      <c r="B110" s="40" t="s">
        <v>153</v>
      </c>
      <c r="C110" s="41" t="s">
        <v>112</v>
      </c>
      <c r="D110" s="42" t="s">
        <v>190</v>
      </c>
      <c r="E110" s="43">
        <v>345707.0</v>
      </c>
      <c r="F110" s="44" t="s">
        <v>190</v>
      </c>
      <c r="G110" s="45">
        <v>0.0</v>
      </c>
      <c r="H110" s="54">
        <v>14.771452967511129</v>
      </c>
      <c r="I110" s="47" t="s">
        <v>39</v>
      </c>
      <c r="J110" s="39" t="str">
        <f t="shared" si="2"/>
        <v>054300 - CARLA</v>
      </c>
      <c r="K110" s="47">
        <f t="shared" si="3"/>
        <v>27.46625</v>
      </c>
      <c r="L110" s="48">
        <v>15.05</v>
      </c>
      <c r="M110" s="49">
        <f t="shared" si="4"/>
        <v>27.46625</v>
      </c>
      <c r="N110" s="39" t="s">
        <v>40</v>
      </c>
      <c r="O110" s="39" t="s">
        <v>41</v>
      </c>
      <c r="P110" s="39" t="s">
        <v>155</v>
      </c>
      <c r="Q110" s="47" t="str">
        <f t="shared" si="5"/>
        <v>60*60</v>
      </c>
      <c r="R110" s="50">
        <v>1.0</v>
      </c>
      <c r="S110" s="51">
        <v>1.0</v>
      </c>
      <c r="T110" s="51">
        <v>0.0</v>
      </c>
      <c r="U110" s="51">
        <v>0.0</v>
      </c>
      <c r="V110" s="47" t="s">
        <v>43</v>
      </c>
      <c r="W110" s="47" t="str">
        <f t="shared" si="6"/>
        <v>BRUT - 60*60 - REHAUSSE 13mm - (Largeur 15mm Profondeur 30mm)</v>
      </c>
      <c r="X110" s="50">
        <v>0.0</v>
      </c>
      <c r="Y110" s="52" t="s">
        <v>44</v>
      </c>
      <c r="Z110" s="47" t="str">
        <f t="shared" si="7"/>
        <v>CARLA BRUT + REHAUSSE 13 60*60 VERRE</v>
      </c>
      <c r="AA110" s="39" t="s">
        <v>45</v>
      </c>
      <c r="AB110" s="39" t="s">
        <v>46</v>
      </c>
      <c r="AC110" s="47" t="str">
        <f t="shared" si="8"/>
        <v>CARLA BRUT + REHAUSSE 13 60*60 VERRE</v>
      </c>
      <c r="AD110" s="39" t="s">
        <v>47</v>
      </c>
      <c r="AE110" s="39" t="str">
        <f t="shared" si="9"/>
        <v>EVA  60*60 BRUT VERRE REHAUSSE 13mm - CADRES GALERIE - Pas de passepartout - Dos classique sans chevalet (Largeur 15mm Profondeur 30mm)</v>
      </c>
      <c r="AF110" s="39" t="str">
        <f t="shared" si="1"/>
        <v>EVA  60*60 BRUT VERRE REHAUSSE 13mm - CADRES GALERIE - Pas de passepartout - Dos classique sans chevalet (Largeur 15mm Profondeur 30mm)</v>
      </c>
      <c r="AG110" s="53">
        <f t="shared" si="10"/>
        <v>26.58861534</v>
      </c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96.0</v>
      </c>
      <c r="B111" s="40" t="s">
        <v>153</v>
      </c>
      <c r="C111" s="41" t="s">
        <v>114</v>
      </c>
      <c r="D111" s="42" t="s">
        <v>191</v>
      </c>
      <c r="E111" s="43">
        <v>345707.0</v>
      </c>
      <c r="F111" s="44" t="s">
        <v>191</v>
      </c>
      <c r="G111" s="45">
        <v>1.0</v>
      </c>
      <c r="H111" s="54">
        <v>17.68701881649606</v>
      </c>
      <c r="I111" s="47" t="s">
        <v>39</v>
      </c>
      <c r="J111" s="39" t="str">
        <f t="shared" si="2"/>
        <v>072392 - CARLA</v>
      </c>
      <c r="K111" s="47">
        <f t="shared" si="3"/>
        <v>32.8865</v>
      </c>
      <c r="L111" s="48">
        <v>18.02</v>
      </c>
      <c r="M111" s="49">
        <f t="shared" si="4"/>
        <v>32.8865</v>
      </c>
      <c r="N111" s="39" t="s">
        <v>40</v>
      </c>
      <c r="O111" s="39" t="s">
        <v>41</v>
      </c>
      <c r="P111" s="39" t="s">
        <v>155</v>
      </c>
      <c r="Q111" s="47" t="str">
        <f t="shared" si="5"/>
        <v>60*80</v>
      </c>
      <c r="R111" s="50">
        <v>1.0</v>
      </c>
      <c r="S111" s="51">
        <v>1.0</v>
      </c>
      <c r="T111" s="51">
        <v>0.0</v>
      </c>
      <c r="U111" s="51">
        <v>0.0</v>
      </c>
      <c r="V111" s="47" t="s">
        <v>43</v>
      </c>
      <c r="W111" s="47" t="str">
        <f t="shared" si="6"/>
        <v>BRUT - 60*80 - REHAUSSE 13mm - (Largeur 15mm Profondeur 30mm)</v>
      </c>
      <c r="X111" s="50">
        <v>0.0</v>
      </c>
      <c r="Y111" s="52" t="s">
        <v>44</v>
      </c>
      <c r="Z111" s="47" t="str">
        <f t="shared" si="7"/>
        <v>CARLA BRUT + REHAUSSE 13 60*80 VERRE</v>
      </c>
      <c r="AA111" s="39" t="s">
        <v>45</v>
      </c>
      <c r="AB111" s="39" t="s">
        <v>46</v>
      </c>
      <c r="AC111" s="47" t="str">
        <f t="shared" si="8"/>
        <v>CARLA BRUT + REHAUSSE 13 60*80 VERRE</v>
      </c>
      <c r="AD111" s="39" t="s">
        <v>47</v>
      </c>
      <c r="AE111" s="39" t="str">
        <f t="shared" si="9"/>
        <v>EVA  60*80 BRUT VERRE REHAUSSE 13mm - CADRES GALERIE - Pas de passepartout - Dos classique sans chevalet (Largeur 15mm Profondeur 30mm)</v>
      </c>
      <c r="AF111" s="39" t="str">
        <f t="shared" si="1"/>
        <v>EVA  60*80 BRUT VERRE REHAUSSE 13mm - CADRES GALERIE - Pas de passepartout - Dos classique sans chevalet (Largeur 15mm Profondeur 30mm)</v>
      </c>
      <c r="AG111" s="53">
        <f t="shared" si="10"/>
        <v>31.83663387</v>
      </c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187.0</v>
      </c>
      <c r="B112" s="40" t="s">
        <v>192</v>
      </c>
      <c r="C112" s="41" t="s">
        <v>37</v>
      </c>
      <c r="D112" s="42" t="s">
        <v>193</v>
      </c>
      <c r="E112" s="43">
        <v>345707.0</v>
      </c>
      <c r="F112" s="44" t="s">
        <v>193</v>
      </c>
      <c r="G112" s="45">
        <v>2.0</v>
      </c>
      <c r="H112" s="54">
        <v>2.1</v>
      </c>
      <c r="I112" s="47" t="s">
        <v>39</v>
      </c>
      <c r="J112" s="39" t="str">
        <f t="shared" si="2"/>
        <v>072197 - CARLA</v>
      </c>
      <c r="K112" s="47">
        <f t="shared" si="3"/>
        <v>3.9055</v>
      </c>
      <c r="L112" s="48">
        <v>2.14</v>
      </c>
      <c r="M112" s="49">
        <f t="shared" si="4"/>
        <v>3.9055</v>
      </c>
      <c r="N112" s="39" t="s">
        <v>118</v>
      </c>
      <c r="O112" s="39" t="s">
        <v>41</v>
      </c>
      <c r="P112" s="39" t="s">
        <v>155</v>
      </c>
      <c r="Q112" s="47" t="str">
        <f t="shared" si="5"/>
        <v>10*15</v>
      </c>
      <c r="R112" s="50">
        <v>1.0</v>
      </c>
      <c r="S112" s="51">
        <v>0.0</v>
      </c>
      <c r="T112" s="51">
        <v>1.0</v>
      </c>
      <c r="U112" s="51">
        <v>0.0</v>
      </c>
      <c r="V112" s="39" t="s">
        <v>119</v>
      </c>
      <c r="W112" s="47" t="str">
        <f t="shared" si="6"/>
        <v>BRUT - 10*15 - PAS DE REHAUSSE - (Largeur 15mm Profondeur 30mm)</v>
      </c>
      <c r="X112" s="50">
        <v>0.0</v>
      </c>
      <c r="Y112" s="52" t="s">
        <v>44</v>
      </c>
      <c r="Z112" s="47" t="str">
        <f t="shared" si="7"/>
        <v>CARLA BRUT 10*15 VERRE</v>
      </c>
      <c r="AA112" s="39" t="s">
        <v>45</v>
      </c>
      <c r="AB112" s="39" t="s">
        <v>46</v>
      </c>
      <c r="AC112" s="47" t="str">
        <f t="shared" si="8"/>
        <v>CARLA BRUT 10*15 VERRE</v>
      </c>
      <c r="AD112" s="39" t="s">
        <v>47</v>
      </c>
      <c r="AE112" s="39" t="str">
        <f t="shared" si="9"/>
        <v>EVA  10*15 BRUT VERRE PAS DE REHAUSSE - CADRES CLASSIQUES - Pas de passepartout - Dos classique sans chevalet (Largeur 15mm Profondeur 30mm)</v>
      </c>
      <c r="AF112" s="39" t="str">
        <f t="shared" si="1"/>
        <v>EVA  10*15 BRUT VERRE PAS DE REHAUSSE - CADRES CLASSIQUES - Pas de passepartout - Dos classique sans chevalet (Largeur 15mm Profondeur 30mm)</v>
      </c>
      <c r="AG112" s="53">
        <f t="shared" si="10"/>
        <v>3.78</v>
      </c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187.0</v>
      </c>
      <c r="B113" s="40" t="s">
        <v>192</v>
      </c>
      <c r="C113" s="41" t="s">
        <v>37</v>
      </c>
      <c r="D113" s="42" t="s">
        <v>194</v>
      </c>
      <c r="E113" s="43">
        <v>345707.0</v>
      </c>
      <c r="F113" s="44" t="s">
        <v>193</v>
      </c>
      <c r="G113" s="45">
        <v>2.0</v>
      </c>
      <c r="H113" s="54">
        <v>2.1</v>
      </c>
      <c r="I113" s="47" t="s">
        <v>39</v>
      </c>
      <c r="J113" s="39" t="str">
        <f t="shared" si="2"/>
        <v>072197DC - CARLA</v>
      </c>
      <c r="K113" s="47">
        <f t="shared" si="3"/>
        <v>3.9055</v>
      </c>
      <c r="L113" s="48">
        <v>2.14</v>
      </c>
      <c r="M113" s="49">
        <f t="shared" si="4"/>
        <v>3.9055</v>
      </c>
      <c r="N113" s="39" t="s">
        <v>118</v>
      </c>
      <c r="O113" s="39" t="s">
        <v>41</v>
      </c>
      <c r="P113" s="39" t="s">
        <v>155</v>
      </c>
      <c r="Q113" s="47" t="str">
        <f t="shared" si="5"/>
        <v>10*15</v>
      </c>
      <c r="R113" s="50">
        <v>1.0</v>
      </c>
      <c r="S113" s="51">
        <v>0.0</v>
      </c>
      <c r="T113" s="51">
        <v>1.0</v>
      </c>
      <c r="U113" s="51">
        <v>1.0</v>
      </c>
      <c r="V113" s="39" t="s">
        <v>119</v>
      </c>
      <c r="W113" s="47" t="str">
        <f t="shared" si="6"/>
        <v>BRUT - 10*15 - PAS DE REHAUSSE - (Largeur 15mm Profondeur 30mm)</v>
      </c>
      <c r="X113" s="50">
        <v>0.0</v>
      </c>
      <c r="Y113" s="52" t="s">
        <v>44</v>
      </c>
      <c r="Z113" s="47" t="str">
        <f t="shared" si="7"/>
        <v>CARLA BRUT 10*15 VERRE</v>
      </c>
      <c r="AA113" s="39" t="s">
        <v>45</v>
      </c>
      <c r="AB113" s="39" t="s">
        <v>49</v>
      </c>
      <c r="AC113" s="47" t="str">
        <f t="shared" si="8"/>
        <v>CARLA BRUT 10*15 VERRE</v>
      </c>
      <c r="AD113" s="39" t="s">
        <v>47</v>
      </c>
      <c r="AE113" s="39" t="str">
        <f t="shared" si="9"/>
        <v>EVA  10*15 BRUT VERRE PAS DE REHAUSSE - CADRES CLASSIQUES - Pas de passepartout - DOS AVEC CHEVALET (Largeur 15mm Profondeur 30mm)</v>
      </c>
      <c r="AF113" s="39" t="str">
        <f t="shared" si="1"/>
        <v>EVA  10*15 BRUT VERRE PAS DE REHAUSSE - CADRES CLASSIQUES - Pas de passepartout - DOS AVEC CHEVALET (Largeur 15mm Profondeur 30mm)</v>
      </c>
      <c r="AG113" s="53">
        <f t="shared" si="10"/>
        <v>3.78</v>
      </c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188.0</v>
      </c>
      <c r="B114" s="40" t="s">
        <v>192</v>
      </c>
      <c r="C114" s="41" t="s">
        <v>50</v>
      </c>
      <c r="D114" s="42" t="s">
        <v>195</v>
      </c>
      <c r="E114" s="43">
        <v>345707.0</v>
      </c>
      <c r="F114" s="44" t="s">
        <v>195</v>
      </c>
      <c r="G114" s="45">
        <v>9.0</v>
      </c>
      <c r="H114" s="54">
        <v>1.935130570379997</v>
      </c>
      <c r="I114" s="47" t="s">
        <v>39</v>
      </c>
      <c r="J114" s="39" t="str">
        <f t="shared" si="2"/>
        <v>072198 - CARLA</v>
      </c>
      <c r="K114" s="47">
        <f t="shared" si="3"/>
        <v>3.59525</v>
      </c>
      <c r="L114" s="48">
        <v>1.97</v>
      </c>
      <c r="M114" s="49">
        <f t="shared" si="4"/>
        <v>3.59525</v>
      </c>
      <c r="N114" s="39" t="s">
        <v>118</v>
      </c>
      <c r="O114" s="39" t="s">
        <v>41</v>
      </c>
      <c r="P114" s="39" t="s">
        <v>155</v>
      </c>
      <c r="Q114" s="47" t="str">
        <f t="shared" si="5"/>
        <v>11*11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119</v>
      </c>
      <c r="W114" s="47" t="str">
        <f t="shared" si="6"/>
        <v>BRUT - 11*11 - PAS DE REHAUSSE - (Largeur 15mm Profondeur 30mm)</v>
      </c>
      <c r="X114" s="50">
        <v>0.0</v>
      </c>
      <c r="Y114" s="52" t="s">
        <v>44</v>
      </c>
      <c r="Z114" s="47" t="str">
        <f t="shared" si="7"/>
        <v>CARLA BRUT 11*11 VERRE</v>
      </c>
      <c r="AA114" s="39" t="s">
        <v>45</v>
      </c>
      <c r="AB114" s="39" t="s">
        <v>46</v>
      </c>
      <c r="AC114" s="47" t="str">
        <f t="shared" si="8"/>
        <v>CARLA BRUT 11*11 VERRE</v>
      </c>
      <c r="AD114" s="39" t="s">
        <v>47</v>
      </c>
      <c r="AE114" s="39" t="str">
        <f t="shared" si="9"/>
        <v>EVA  11*11 BRUT VERRE PAS DE REHAUSSE - CADRES CLASSIQUES - Pas de passepartout - Dos classique sans chevalet (Largeur 15mm Profondeur 30mm)</v>
      </c>
      <c r="AF114" s="39" t="str">
        <f t="shared" si="1"/>
        <v>EVA  11*11 BRUT VERRE PAS DE REHAUSSE - CADRES CLASSIQUES - Pas de passepartout - Dos classique sans chevalet (Largeur 15mm Profondeur 30mm)</v>
      </c>
      <c r="AG114" s="53">
        <f t="shared" si="10"/>
        <v>3.483235027</v>
      </c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189.0</v>
      </c>
      <c r="B115" s="40" t="s">
        <v>192</v>
      </c>
      <c r="C115" s="41" t="s">
        <v>52</v>
      </c>
      <c r="D115" s="42" t="s">
        <v>196</v>
      </c>
      <c r="E115" s="43">
        <v>345707.0</v>
      </c>
      <c r="F115" s="44" t="s">
        <v>196</v>
      </c>
      <c r="G115" s="45">
        <v>9.0</v>
      </c>
      <c r="H115" s="54">
        <v>2.5252648544189524</v>
      </c>
      <c r="I115" s="47" t="s">
        <v>39</v>
      </c>
      <c r="J115" s="39" t="str">
        <f t="shared" si="2"/>
        <v>072200 - CARLA</v>
      </c>
      <c r="K115" s="47">
        <f t="shared" si="3"/>
        <v>4.69025</v>
      </c>
      <c r="L115" s="48">
        <v>2.57</v>
      </c>
      <c r="M115" s="49">
        <f t="shared" si="4"/>
        <v>4.69025</v>
      </c>
      <c r="N115" s="39" t="s">
        <v>118</v>
      </c>
      <c r="O115" s="39" t="s">
        <v>41</v>
      </c>
      <c r="P115" s="39" t="s">
        <v>155</v>
      </c>
      <c r="Q115" s="47" t="str">
        <f t="shared" si="5"/>
        <v>13*18</v>
      </c>
      <c r="R115" s="50">
        <v>1.0</v>
      </c>
      <c r="S115" s="51">
        <v>0.0</v>
      </c>
      <c r="T115" s="51">
        <v>1.0</v>
      </c>
      <c r="U115" s="51">
        <v>0.0</v>
      </c>
      <c r="V115" s="39" t="s">
        <v>119</v>
      </c>
      <c r="W115" s="47" t="str">
        <f t="shared" si="6"/>
        <v>BRUT - 13*18 - PAS DE REHAUSSE - (Largeur 15mm Profondeur 30mm)</v>
      </c>
      <c r="X115" s="50">
        <v>0.0</v>
      </c>
      <c r="Y115" s="52" t="s">
        <v>44</v>
      </c>
      <c r="Z115" s="47" t="str">
        <f t="shared" si="7"/>
        <v>CARLA BRUT 13*18 VERRE</v>
      </c>
      <c r="AA115" s="39" t="s">
        <v>45</v>
      </c>
      <c r="AB115" s="39" t="s">
        <v>46</v>
      </c>
      <c r="AC115" s="47" t="str">
        <f t="shared" si="8"/>
        <v>CARLA BRUT 13*18 VERRE</v>
      </c>
      <c r="AD115" s="39" t="s">
        <v>47</v>
      </c>
      <c r="AE115" s="39" t="str">
        <f t="shared" si="9"/>
        <v>EVA  13*18 BRUT VERRE PAS DE REHAUSSE - CADRES CLASSIQUES - Pas de passepartout - Dos classique sans chevalet (Largeur 15mm Profondeur 30mm)</v>
      </c>
      <c r="AF115" s="39" t="str">
        <f t="shared" si="1"/>
        <v>EVA  13*18 BRUT VERRE PAS DE REHAUSSE - CADRES CLASSIQUES - Pas de passepartout - Dos classique sans chevalet (Largeur 15mm Profondeur 30mm)</v>
      </c>
      <c r="AG115" s="53">
        <f t="shared" si="10"/>
        <v>4.545476738</v>
      </c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189.0</v>
      </c>
      <c r="B116" s="40" t="s">
        <v>192</v>
      </c>
      <c r="C116" s="41" t="s">
        <v>52</v>
      </c>
      <c r="D116" s="42" t="s">
        <v>197</v>
      </c>
      <c r="E116" s="43">
        <v>345707.0</v>
      </c>
      <c r="F116" s="44" t="s">
        <v>196</v>
      </c>
      <c r="G116" s="45">
        <v>9.0</v>
      </c>
      <c r="H116" s="54">
        <v>2.5252648544189524</v>
      </c>
      <c r="I116" s="47" t="s">
        <v>39</v>
      </c>
      <c r="J116" s="39" t="str">
        <f t="shared" si="2"/>
        <v>072200DC - CARLA</v>
      </c>
      <c r="K116" s="47">
        <f t="shared" si="3"/>
        <v>4.69025</v>
      </c>
      <c r="L116" s="48">
        <v>2.57</v>
      </c>
      <c r="M116" s="49">
        <f t="shared" si="4"/>
        <v>4.69025</v>
      </c>
      <c r="N116" s="39" t="s">
        <v>118</v>
      </c>
      <c r="O116" s="39" t="s">
        <v>41</v>
      </c>
      <c r="P116" s="39" t="s">
        <v>155</v>
      </c>
      <c r="Q116" s="47" t="str">
        <f t="shared" si="5"/>
        <v>13*18</v>
      </c>
      <c r="R116" s="50">
        <v>1.0</v>
      </c>
      <c r="S116" s="51">
        <v>0.0</v>
      </c>
      <c r="T116" s="51">
        <v>1.0</v>
      </c>
      <c r="U116" s="51">
        <v>1.0</v>
      </c>
      <c r="V116" s="39" t="s">
        <v>119</v>
      </c>
      <c r="W116" s="47" t="str">
        <f t="shared" si="6"/>
        <v>BRUT - 13*18 - PAS DE REHAUSSE - (Largeur 15mm Profondeur 30mm)</v>
      </c>
      <c r="X116" s="50">
        <v>0.0</v>
      </c>
      <c r="Y116" s="52" t="s">
        <v>44</v>
      </c>
      <c r="Z116" s="47" t="str">
        <f t="shared" si="7"/>
        <v>CARLA BRUT 13*18 VERRE</v>
      </c>
      <c r="AA116" s="39" t="s">
        <v>45</v>
      </c>
      <c r="AB116" s="39" t="s">
        <v>49</v>
      </c>
      <c r="AC116" s="47" t="str">
        <f t="shared" si="8"/>
        <v>CARLA BRUT 13*18 VERRE</v>
      </c>
      <c r="AD116" s="39" t="s">
        <v>47</v>
      </c>
      <c r="AE116" s="39" t="str">
        <f t="shared" si="9"/>
        <v>EVA  13*18 BRUT VERRE PAS DE REHAUSSE - CADRES CLASSIQUES - Pas de passepartout - DOS AVEC CHEVALET (Largeur 15mm Profondeur 30mm)</v>
      </c>
      <c r="AF116" s="39" t="str">
        <f t="shared" si="1"/>
        <v>EVA  13*18 BRUT VERRE PAS DE REHAUSSE - CADRES CLASSIQUES - Pas de passepartout - DOS AVEC CHEVALET (Largeur 15mm Profondeur 30mm)</v>
      </c>
      <c r="AG116" s="53">
        <f t="shared" si="10"/>
        <v>4.545476738</v>
      </c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190.0</v>
      </c>
      <c r="B117" s="40" t="s">
        <v>192</v>
      </c>
      <c r="C117" s="41" t="s">
        <v>55</v>
      </c>
      <c r="D117" s="42" t="s">
        <v>198</v>
      </c>
      <c r="E117" s="43">
        <v>345707.0</v>
      </c>
      <c r="F117" s="44" t="s">
        <v>198</v>
      </c>
      <c r="G117" s="45">
        <v>3.0</v>
      </c>
      <c r="H117" s="54">
        <v>2.3281162291774353</v>
      </c>
      <c r="I117" s="47" t="s">
        <v>39</v>
      </c>
      <c r="J117" s="39" t="str">
        <f t="shared" si="2"/>
        <v>072202 - CARLA</v>
      </c>
      <c r="K117" s="47">
        <f t="shared" si="3"/>
        <v>4.32525</v>
      </c>
      <c r="L117" s="48">
        <v>2.37</v>
      </c>
      <c r="M117" s="49">
        <f t="shared" si="4"/>
        <v>4.32525</v>
      </c>
      <c r="N117" s="39" t="s">
        <v>118</v>
      </c>
      <c r="O117" s="39" t="s">
        <v>41</v>
      </c>
      <c r="P117" s="39" t="s">
        <v>155</v>
      </c>
      <c r="Q117" s="47" t="str">
        <f t="shared" si="5"/>
        <v>14*14</v>
      </c>
      <c r="R117" s="50">
        <v>1.0</v>
      </c>
      <c r="S117" s="51">
        <v>0.0</v>
      </c>
      <c r="T117" s="51">
        <v>0.0</v>
      </c>
      <c r="U117" s="51">
        <v>0.0</v>
      </c>
      <c r="V117" s="39" t="s">
        <v>119</v>
      </c>
      <c r="W117" s="47" t="str">
        <f t="shared" si="6"/>
        <v>BRUT - 14*14 - PAS DE REHAUSSE - (Largeur 15mm Profondeur 30mm)</v>
      </c>
      <c r="X117" s="50">
        <v>0.0</v>
      </c>
      <c r="Y117" s="52" t="s">
        <v>44</v>
      </c>
      <c r="Z117" s="47" t="str">
        <f t="shared" si="7"/>
        <v>CARLA BRUT 14*14 VERRE</v>
      </c>
      <c r="AA117" s="39" t="s">
        <v>45</v>
      </c>
      <c r="AB117" s="39" t="s">
        <v>46</v>
      </c>
      <c r="AC117" s="47" t="str">
        <f t="shared" si="8"/>
        <v>CARLA BRUT 14*14 VERRE</v>
      </c>
      <c r="AD117" s="39" t="s">
        <v>47</v>
      </c>
      <c r="AE117" s="39" t="str">
        <f t="shared" si="9"/>
        <v>EVA  14*14 BRUT VERRE PAS DE REHAUSSE - CADRES CLASSIQUES - Pas de passepartout - Dos classique sans chevalet (Largeur 15mm Profondeur 30mm)</v>
      </c>
      <c r="AF117" s="39" t="str">
        <f t="shared" si="1"/>
        <v>EVA  14*14 BRUT VERRE PAS DE REHAUSSE - CADRES CLASSIQUES - Pas de passepartout - Dos classique sans chevalet (Largeur 15mm Profondeur 30mm)</v>
      </c>
      <c r="AG117" s="53">
        <f t="shared" si="10"/>
        <v>4.190609213</v>
      </c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191.0</v>
      </c>
      <c r="B118" s="40" t="s">
        <v>192</v>
      </c>
      <c r="C118" s="41" t="s">
        <v>59</v>
      </c>
      <c r="D118" s="42" t="s">
        <v>199</v>
      </c>
      <c r="E118" s="43">
        <v>345707.0</v>
      </c>
      <c r="F118" s="44" t="s">
        <v>199</v>
      </c>
      <c r="G118" s="45">
        <v>0.0</v>
      </c>
      <c r="H118" s="54">
        <v>2.8770173496003895</v>
      </c>
      <c r="I118" s="47" t="s">
        <v>39</v>
      </c>
      <c r="J118" s="39" t="str">
        <f t="shared" si="2"/>
        <v>072203 - CARLA</v>
      </c>
      <c r="K118" s="47">
        <f t="shared" si="3"/>
        <v>5.34725</v>
      </c>
      <c r="L118" s="48">
        <v>2.93</v>
      </c>
      <c r="M118" s="49">
        <f t="shared" si="4"/>
        <v>5.34725</v>
      </c>
      <c r="N118" s="39" t="s">
        <v>118</v>
      </c>
      <c r="O118" s="39" t="s">
        <v>41</v>
      </c>
      <c r="P118" s="39" t="s">
        <v>155</v>
      </c>
      <c r="Q118" s="47" t="str">
        <f t="shared" si="5"/>
        <v>15*21</v>
      </c>
      <c r="R118" s="50">
        <v>1.0</v>
      </c>
      <c r="S118" s="51">
        <v>0.0</v>
      </c>
      <c r="T118" s="51">
        <v>1.0</v>
      </c>
      <c r="U118" s="51">
        <v>0.0</v>
      </c>
      <c r="V118" s="39" t="s">
        <v>119</v>
      </c>
      <c r="W118" s="47" t="str">
        <f t="shared" si="6"/>
        <v>BRUT - 15*21 - PAS DE REHAUSSE - (Largeur 15mm Profondeur 30mm)</v>
      </c>
      <c r="X118" s="50">
        <v>0.0</v>
      </c>
      <c r="Y118" s="52" t="s">
        <v>44</v>
      </c>
      <c r="Z118" s="47" t="str">
        <f t="shared" si="7"/>
        <v>CARLA BRUT 15*21 VERRE</v>
      </c>
      <c r="AA118" s="39" t="s">
        <v>45</v>
      </c>
      <c r="AB118" s="39" t="s">
        <v>46</v>
      </c>
      <c r="AC118" s="47" t="str">
        <f t="shared" si="8"/>
        <v>CARLA BRUT 15*21 VERRE</v>
      </c>
      <c r="AD118" s="39" t="s">
        <v>47</v>
      </c>
      <c r="AE118" s="39" t="str">
        <f t="shared" si="9"/>
        <v>EVA  15*21 BRUT VERRE PAS DE REHAUSSE - CADRES CLASSIQUES - Pas de passepartout - Dos classique sans chevalet (Largeur 15mm Profondeur 30mm)</v>
      </c>
      <c r="AF118" s="39" t="str">
        <f t="shared" si="1"/>
        <v>EVA  15*21 BRUT VERRE PAS DE REHAUSSE - CADRES CLASSIQUES - Pas de passepartout - Dos classique sans chevalet (Largeur 15mm Profondeur 30mm)</v>
      </c>
      <c r="AG118" s="53">
        <f t="shared" si="10"/>
        <v>5.178631229</v>
      </c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191.0</v>
      </c>
      <c r="B119" s="40" t="s">
        <v>192</v>
      </c>
      <c r="C119" s="41" t="s">
        <v>59</v>
      </c>
      <c r="D119" s="42" t="s">
        <v>200</v>
      </c>
      <c r="E119" s="43">
        <v>345707.0</v>
      </c>
      <c r="F119" s="44" t="s">
        <v>199</v>
      </c>
      <c r="G119" s="45">
        <v>0.0</v>
      </c>
      <c r="H119" s="54">
        <v>2.8770173496003895</v>
      </c>
      <c r="I119" s="47" t="s">
        <v>39</v>
      </c>
      <c r="J119" s="39" t="str">
        <f t="shared" si="2"/>
        <v>072203DC - CARLA</v>
      </c>
      <c r="K119" s="47">
        <f t="shared" si="3"/>
        <v>5.34725</v>
      </c>
      <c r="L119" s="48">
        <v>2.93</v>
      </c>
      <c r="M119" s="49">
        <f t="shared" si="4"/>
        <v>5.34725</v>
      </c>
      <c r="N119" s="39" t="s">
        <v>118</v>
      </c>
      <c r="O119" s="39" t="s">
        <v>41</v>
      </c>
      <c r="P119" s="39" t="s">
        <v>155</v>
      </c>
      <c r="Q119" s="47" t="str">
        <f t="shared" si="5"/>
        <v>15*21</v>
      </c>
      <c r="R119" s="50">
        <v>1.0</v>
      </c>
      <c r="S119" s="51">
        <v>0.0</v>
      </c>
      <c r="T119" s="51">
        <v>1.0</v>
      </c>
      <c r="U119" s="51">
        <v>1.0</v>
      </c>
      <c r="V119" s="39" t="s">
        <v>119</v>
      </c>
      <c r="W119" s="47" t="str">
        <f t="shared" si="6"/>
        <v>BRUT - 15*21 - PAS DE REHAUSSE - (Largeur 15mm Profondeur 30mm)</v>
      </c>
      <c r="X119" s="50">
        <v>0.0</v>
      </c>
      <c r="Y119" s="52" t="s">
        <v>44</v>
      </c>
      <c r="Z119" s="47" t="str">
        <f t="shared" si="7"/>
        <v>CARLA BRUT 15*21 VERRE</v>
      </c>
      <c r="AA119" s="39" t="s">
        <v>45</v>
      </c>
      <c r="AB119" s="39" t="s">
        <v>49</v>
      </c>
      <c r="AC119" s="47" t="str">
        <f t="shared" si="8"/>
        <v>CARLA BRUT 15*21 VERRE</v>
      </c>
      <c r="AD119" s="39" t="s">
        <v>47</v>
      </c>
      <c r="AE119" s="39" t="str">
        <f t="shared" si="9"/>
        <v>EVA  15*21 BRUT VERRE PAS DE REHAUSSE - CADRES CLASSIQUES - Pas de passepartout - DOS AVEC CHEVALET (Largeur 15mm Profondeur 30mm)</v>
      </c>
      <c r="AF119" s="39" t="str">
        <f t="shared" si="1"/>
        <v>EVA  15*21 BRUT VERRE PAS DE REHAUSSE - CADRES CLASSIQUES - Pas de passepartout - DOS AVEC CHEVALET (Largeur 15mm Profondeur 30mm)</v>
      </c>
      <c r="AG119" s="53">
        <f t="shared" si="10"/>
        <v>5.178631229</v>
      </c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192.0</v>
      </c>
      <c r="B120" s="40" t="s">
        <v>192</v>
      </c>
      <c r="C120" s="41" t="s">
        <v>62</v>
      </c>
      <c r="D120" s="42" t="s">
        <v>201</v>
      </c>
      <c r="E120" s="43">
        <v>345707.0</v>
      </c>
      <c r="F120" s="44" t="s">
        <v>201</v>
      </c>
      <c r="G120" s="45">
        <v>7.0</v>
      </c>
      <c r="H120" s="54">
        <v>3.325089859192961</v>
      </c>
      <c r="I120" s="47" t="s">
        <v>39</v>
      </c>
      <c r="J120" s="39" t="str">
        <f t="shared" si="2"/>
        <v>072204 - CARLA</v>
      </c>
      <c r="K120" s="47">
        <f t="shared" si="3"/>
        <v>6.18675</v>
      </c>
      <c r="L120" s="48">
        <v>3.39</v>
      </c>
      <c r="M120" s="49">
        <f t="shared" si="4"/>
        <v>6.18675</v>
      </c>
      <c r="N120" s="39" t="s">
        <v>118</v>
      </c>
      <c r="O120" s="39" t="s">
        <v>41</v>
      </c>
      <c r="P120" s="39" t="s">
        <v>155</v>
      </c>
      <c r="Q120" s="47" t="str">
        <f t="shared" si="5"/>
        <v>18*24</v>
      </c>
      <c r="R120" s="50">
        <v>1.0</v>
      </c>
      <c r="S120" s="51">
        <v>0.0</v>
      </c>
      <c r="T120" s="51">
        <v>1.0</v>
      </c>
      <c r="U120" s="51">
        <v>0.0</v>
      </c>
      <c r="V120" s="39" t="s">
        <v>119</v>
      </c>
      <c r="W120" s="47" t="str">
        <f t="shared" si="6"/>
        <v>BRUT - 18*24 - PAS DE REHAUSSE - (Largeur 15mm Profondeur 30mm)</v>
      </c>
      <c r="X120" s="50">
        <v>0.0</v>
      </c>
      <c r="Y120" s="52" t="s">
        <v>44</v>
      </c>
      <c r="Z120" s="47" t="str">
        <f t="shared" si="7"/>
        <v>CARLA BRUT 18*24 VERRE</v>
      </c>
      <c r="AA120" s="39" t="s">
        <v>45</v>
      </c>
      <c r="AB120" s="39" t="s">
        <v>46</v>
      </c>
      <c r="AC120" s="47" t="str">
        <f t="shared" si="8"/>
        <v>CARLA BRUT 18*24 VERRE</v>
      </c>
      <c r="AD120" s="39" t="s">
        <v>47</v>
      </c>
      <c r="AE120" s="39" t="str">
        <f t="shared" si="9"/>
        <v>EVA  18*24 BRUT VERRE PAS DE REHAUSSE - CADRES CLASSIQUES - Pas de passepartout - Dos classique sans chevalet (Largeur 15mm Profondeur 30mm)</v>
      </c>
      <c r="AF120" s="39" t="str">
        <f t="shared" si="1"/>
        <v>EVA  18*24 BRUT VERRE PAS DE REHAUSSE - CADRES CLASSIQUES - Pas de passepartout - Dos classique sans chevalet (Largeur 15mm Profondeur 30mm)</v>
      </c>
      <c r="AG120" s="53">
        <f t="shared" si="10"/>
        <v>5.985161747</v>
      </c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192.0</v>
      </c>
      <c r="B121" s="40" t="s">
        <v>192</v>
      </c>
      <c r="C121" s="41" t="s">
        <v>62</v>
      </c>
      <c r="D121" s="42" t="s">
        <v>202</v>
      </c>
      <c r="E121" s="43">
        <v>345707.0</v>
      </c>
      <c r="F121" s="44" t="s">
        <v>201</v>
      </c>
      <c r="G121" s="45">
        <v>7.0</v>
      </c>
      <c r="H121" s="54">
        <v>3.325089859192961</v>
      </c>
      <c r="I121" s="47" t="s">
        <v>39</v>
      </c>
      <c r="J121" s="39" t="str">
        <f t="shared" si="2"/>
        <v>072204DC - CARLA</v>
      </c>
      <c r="K121" s="47">
        <f t="shared" si="3"/>
        <v>6.18675</v>
      </c>
      <c r="L121" s="48">
        <v>3.39</v>
      </c>
      <c r="M121" s="49">
        <f t="shared" si="4"/>
        <v>6.18675</v>
      </c>
      <c r="N121" s="39" t="s">
        <v>118</v>
      </c>
      <c r="O121" s="39" t="s">
        <v>41</v>
      </c>
      <c r="P121" s="39" t="s">
        <v>155</v>
      </c>
      <c r="Q121" s="47" t="str">
        <f t="shared" si="5"/>
        <v>18*24</v>
      </c>
      <c r="R121" s="50">
        <v>1.0</v>
      </c>
      <c r="S121" s="51">
        <v>0.0</v>
      </c>
      <c r="T121" s="51">
        <v>1.0</v>
      </c>
      <c r="U121" s="51">
        <v>1.0</v>
      </c>
      <c r="V121" s="39" t="s">
        <v>119</v>
      </c>
      <c r="W121" s="47" t="str">
        <f t="shared" si="6"/>
        <v>BRUT - 18*24 - PAS DE REHAUSSE - (Largeur 15mm Profondeur 30mm)</v>
      </c>
      <c r="X121" s="50">
        <v>0.0</v>
      </c>
      <c r="Y121" s="52" t="s">
        <v>44</v>
      </c>
      <c r="Z121" s="47" t="str">
        <f t="shared" si="7"/>
        <v>CARLA BRUT 18*24 VERRE</v>
      </c>
      <c r="AA121" s="39" t="s">
        <v>45</v>
      </c>
      <c r="AB121" s="39" t="s">
        <v>49</v>
      </c>
      <c r="AC121" s="47" t="str">
        <f t="shared" si="8"/>
        <v>CARLA BRUT 18*24 VERRE</v>
      </c>
      <c r="AD121" s="39" t="s">
        <v>47</v>
      </c>
      <c r="AE121" s="39" t="str">
        <f t="shared" si="9"/>
        <v>EVA  18*24 BRUT VERRE PAS DE REHAUSSE - CADRES CLASSIQUES - Pas de passepartout - DOS AVEC CHEVALET (Largeur 15mm Profondeur 30mm)</v>
      </c>
      <c r="AF121" s="39" t="str">
        <f t="shared" si="1"/>
        <v>EVA  18*24 BRUT VERRE PAS DE REHAUSSE - CADRES CLASSIQUES - Pas de passepartout - DOS AVEC CHEVALET (Largeur 15mm Profondeur 30mm)</v>
      </c>
      <c r="AG121" s="53">
        <f t="shared" si="10"/>
        <v>5.985161747</v>
      </c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193.0</v>
      </c>
      <c r="B122" s="40" t="s">
        <v>192</v>
      </c>
      <c r="C122" s="41" t="s">
        <v>65</v>
      </c>
      <c r="D122" s="42" t="s">
        <v>203</v>
      </c>
      <c r="E122" s="43">
        <v>345707.0</v>
      </c>
      <c r="F122" s="44" t="s">
        <v>203</v>
      </c>
      <c r="G122" s="45">
        <v>4.0</v>
      </c>
      <c r="H122" s="54">
        <v>4.1249148639669695</v>
      </c>
      <c r="I122" s="47" t="s">
        <v>39</v>
      </c>
      <c r="J122" s="39" t="str">
        <f t="shared" si="2"/>
        <v>072205 - CARLA</v>
      </c>
      <c r="K122" s="47">
        <f t="shared" si="3"/>
        <v>7.665</v>
      </c>
      <c r="L122" s="48">
        <v>4.2</v>
      </c>
      <c r="M122" s="49">
        <f t="shared" si="4"/>
        <v>7.665</v>
      </c>
      <c r="N122" s="39" t="s">
        <v>118</v>
      </c>
      <c r="O122" s="39" t="s">
        <v>41</v>
      </c>
      <c r="P122" s="39" t="s">
        <v>155</v>
      </c>
      <c r="Q122" s="47" t="str">
        <f t="shared" si="5"/>
        <v>18*35</v>
      </c>
      <c r="R122" s="50">
        <v>1.0</v>
      </c>
      <c r="S122" s="51">
        <v>0.0</v>
      </c>
      <c r="T122" s="51">
        <v>0.0</v>
      </c>
      <c r="U122" s="51">
        <v>0.0</v>
      </c>
      <c r="V122" s="39" t="s">
        <v>119</v>
      </c>
      <c r="W122" s="47" t="str">
        <f t="shared" si="6"/>
        <v>BRUT - 18*35 - PAS DE REHAUSSE - (Largeur 15mm Profondeur 30mm)</v>
      </c>
      <c r="X122" s="50">
        <v>0.0</v>
      </c>
      <c r="Y122" s="52" t="s">
        <v>44</v>
      </c>
      <c r="Z122" s="47" t="str">
        <f t="shared" si="7"/>
        <v>CARLA BRUT 18*35 VERRE</v>
      </c>
      <c r="AA122" s="39" t="s">
        <v>45</v>
      </c>
      <c r="AB122" s="39" t="s">
        <v>46</v>
      </c>
      <c r="AC122" s="47" t="str">
        <f t="shared" si="8"/>
        <v>CARLA BRUT 18*35 VERRE</v>
      </c>
      <c r="AD122" s="39" t="s">
        <v>47</v>
      </c>
      <c r="AE122" s="39" t="str">
        <f t="shared" si="9"/>
        <v>EVA  18*35 BRUT VERRE PAS DE REHAUSSE - CADRES CLASSIQUES - Pas de passepartout - Dos classique sans chevalet (Largeur 15mm Profondeur 30mm)</v>
      </c>
      <c r="AF122" s="39" t="str">
        <f t="shared" si="1"/>
        <v>EVA  18*35 BRUT VERRE PAS DE REHAUSSE - CADRES CLASSIQUES - Pas de passepartout - Dos classique sans chevalet (Largeur 15mm Profondeur 30mm)</v>
      </c>
      <c r="AG122" s="53">
        <f t="shared" si="10"/>
        <v>7.424846755</v>
      </c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194.0</v>
      </c>
      <c r="B123" s="40" t="s">
        <v>192</v>
      </c>
      <c r="C123" s="41" t="s">
        <v>67</v>
      </c>
      <c r="D123" s="42" t="s">
        <v>204</v>
      </c>
      <c r="E123" s="43">
        <v>345707.0</v>
      </c>
      <c r="F123" s="44" t="s">
        <v>204</v>
      </c>
      <c r="G123" s="45">
        <v>1.0</v>
      </c>
      <c r="H123" s="54">
        <v>3.1849134977946263</v>
      </c>
      <c r="I123" s="47" t="s">
        <v>39</v>
      </c>
      <c r="J123" s="39" t="str">
        <f t="shared" si="2"/>
        <v>072206 - CARLA</v>
      </c>
      <c r="K123" s="47">
        <f t="shared" si="3"/>
        <v>5.93125</v>
      </c>
      <c r="L123" s="48">
        <v>3.25</v>
      </c>
      <c r="M123" s="49">
        <f t="shared" si="4"/>
        <v>5.93125</v>
      </c>
      <c r="N123" s="39" t="s">
        <v>118</v>
      </c>
      <c r="O123" s="39" t="s">
        <v>41</v>
      </c>
      <c r="P123" s="39" t="s">
        <v>155</v>
      </c>
      <c r="Q123" s="47" t="str">
        <f t="shared" si="5"/>
        <v>20*20</v>
      </c>
      <c r="R123" s="50">
        <v>1.0</v>
      </c>
      <c r="S123" s="51">
        <v>0.0</v>
      </c>
      <c r="T123" s="51">
        <v>0.0</v>
      </c>
      <c r="U123" s="51">
        <v>0.0</v>
      </c>
      <c r="V123" s="39" t="s">
        <v>119</v>
      </c>
      <c r="W123" s="47" t="str">
        <f t="shared" si="6"/>
        <v>BRUT - 20*20 - PAS DE REHAUSSE - (Largeur 15mm Profondeur 30mm)</v>
      </c>
      <c r="X123" s="50">
        <v>0.0</v>
      </c>
      <c r="Y123" s="52" t="s">
        <v>44</v>
      </c>
      <c r="Z123" s="47" t="str">
        <f t="shared" si="7"/>
        <v>CARLA BRUT 20*20 VERRE</v>
      </c>
      <c r="AA123" s="39" t="s">
        <v>45</v>
      </c>
      <c r="AB123" s="39" t="s">
        <v>46</v>
      </c>
      <c r="AC123" s="47" t="str">
        <f t="shared" si="8"/>
        <v>CARLA BRUT 20*20 VERRE</v>
      </c>
      <c r="AD123" s="39" t="s">
        <v>47</v>
      </c>
      <c r="AE123" s="39" t="str">
        <f t="shared" si="9"/>
        <v>EVA  20*20 BRUT VERRE PAS DE REHAUSSE - CADRES CLASSIQUES - Pas de passepartout - Dos classique sans chevalet (Largeur 15mm Profondeur 30mm)</v>
      </c>
      <c r="AF123" s="39" t="str">
        <f t="shared" si="1"/>
        <v>EVA  20*20 BRUT VERRE PAS DE REHAUSSE - CADRES CLASSIQUES - Pas de passepartout - Dos classique sans chevalet (Largeur 15mm Profondeur 30mm)</v>
      </c>
      <c r="AG123" s="53">
        <f t="shared" si="10"/>
        <v>5.732844296</v>
      </c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195.0</v>
      </c>
      <c r="B124" s="40" t="s">
        <v>192</v>
      </c>
      <c r="C124" s="41" t="s">
        <v>69</v>
      </c>
      <c r="D124" s="42" t="s">
        <v>205</v>
      </c>
      <c r="E124" s="43">
        <v>345707.0</v>
      </c>
      <c r="F124" s="44" t="s">
        <v>205</v>
      </c>
      <c r="G124" s="45">
        <v>8.0</v>
      </c>
      <c r="H124" s="54">
        <v>3.9382589722102384</v>
      </c>
      <c r="I124" s="47" t="s">
        <v>39</v>
      </c>
      <c r="J124" s="39" t="str">
        <f t="shared" si="2"/>
        <v>072207 - CARLA</v>
      </c>
      <c r="K124" s="47">
        <f t="shared" si="3"/>
        <v>7.31825</v>
      </c>
      <c r="L124" s="48">
        <v>4.01</v>
      </c>
      <c r="M124" s="49">
        <f t="shared" si="4"/>
        <v>7.31825</v>
      </c>
      <c r="N124" s="39" t="s">
        <v>118</v>
      </c>
      <c r="O124" s="39" t="s">
        <v>41</v>
      </c>
      <c r="P124" s="39" t="s">
        <v>155</v>
      </c>
      <c r="Q124" s="47" t="str">
        <f t="shared" si="5"/>
        <v>20*30</v>
      </c>
      <c r="R124" s="50">
        <v>1.0</v>
      </c>
      <c r="S124" s="51">
        <v>0.0</v>
      </c>
      <c r="T124" s="51">
        <v>1.0</v>
      </c>
      <c r="U124" s="51">
        <v>0.0</v>
      </c>
      <c r="V124" s="39" t="s">
        <v>119</v>
      </c>
      <c r="W124" s="47" t="str">
        <f t="shared" si="6"/>
        <v>BRUT - 20*30 - PAS DE REHAUSSE - (Largeur 15mm Profondeur 30mm)</v>
      </c>
      <c r="X124" s="50">
        <v>0.0</v>
      </c>
      <c r="Y124" s="52" t="s">
        <v>44</v>
      </c>
      <c r="Z124" s="47" t="str">
        <f t="shared" si="7"/>
        <v>CARLA BRUT 20*30 VERRE</v>
      </c>
      <c r="AA124" s="39" t="s">
        <v>45</v>
      </c>
      <c r="AB124" s="39" t="s">
        <v>46</v>
      </c>
      <c r="AC124" s="47" t="str">
        <f t="shared" si="8"/>
        <v>CARLA BRUT 20*30 VERRE</v>
      </c>
      <c r="AD124" s="39" t="s">
        <v>47</v>
      </c>
      <c r="AE124" s="39" t="str">
        <f t="shared" si="9"/>
        <v>EVA  20*30 BRUT VERRE PAS DE REHAUSSE - CADRES CLASSIQUES - Pas de passepartout - Dos classique sans chevalet (Largeur 15mm Profondeur 30mm)</v>
      </c>
      <c r="AF124" s="39" t="str">
        <f t="shared" si="1"/>
        <v>EVA  20*30 BRUT VERRE PAS DE REHAUSSE - CADRES CLASSIQUES - Pas de passepartout - Dos classique sans chevalet (Largeur 15mm Profondeur 30mm)</v>
      </c>
      <c r="AG124" s="53">
        <f t="shared" si="10"/>
        <v>7.08886615</v>
      </c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195.0</v>
      </c>
      <c r="B125" s="40" t="s">
        <v>192</v>
      </c>
      <c r="C125" s="41" t="s">
        <v>69</v>
      </c>
      <c r="D125" s="42" t="s">
        <v>206</v>
      </c>
      <c r="E125" s="43">
        <v>345707.0</v>
      </c>
      <c r="F125" s="44" t="s">
        <v>205</v>
      </c>
      <c r="G125" s="45">
        <v>8.0</v>
      </c>
      <c r="H125" s="54">
        <v>3.9382589722102384</v>
      </c>
      <c r="I125" s="47" t="s">
        <v>39</v>
      </c>
      <c r="J125" s="39" t="str">
        <f t="shared" si="2"/>
        <v>072207DC - CARLA</v>
      </c>
      <c r="K125" s="47">
        <f t="shared" si="3"/>
        <v>7.31825</v>
      </c>
      <c r="L125" s="48">
        <v>4.01</v>
      </c>
      <c r="M125" s="49">
        <f t="shared" si="4"/>
        <v>7.31825</v>
      </c>
      <c r="N125" s="39" t="s">
        <v>118</v>
      </c>
      <c r="O125" s="39" t="s">
        <v>41</v>
      </c>
      <c r="P125" s="39" t="s">
        <v>155</v>
      </c>
      <c r="Q125" s="47" t="str">
        <f t="shared" si="5"/>
        <v>20*30</v>
      </c>
      <c r="R125" s="50">
        <v>1.0</v>
      </c>
      <c r="S125" s="51">
        <v>0.0</v>
      </c>
      <c r="T125" s="51">
        <v>1.0</v>
      </c>
      <c r="U125" s="51">
        <v>1.0</v>
      </c>
      <c r="V125" s="39" t="s">
        <v>119</v>
      </c>
      <c r="W125" s="47" t="str">
        <f t="shared" si="6"/>
        <v>BRUT - 20*30 - PAS DE REHAUSSE - (Largeur 15mm Profondeur 30mm)</v>
      </c>
      <c r="X125" s="50">
        <v>0.0</v>
      </c>
      <c r="Y125" s="52" t="s">
        <v>44</v>
      </c>
      <c r="Z125" s="47" t="str">
        <f t="shared" si="7"/>
        <v>CARLA BRUT 20*30 VERRE</v>
      </c>
      <c r="AA125" s="39" t="s">
        <v>45</v>
      </c>
      <c r="AB125" s="39" t="s">
        <v>49</v>
      </c>
      <c r="AC125" s="47" t="str">
        <f t="shared" si="8"/>
        <v>CARLA BRUT 20*30 VERRE</v>
      </c>
      <c r="AD125" s="39" t="s">
        <v>47</v>
      </c>
      <c r="AE125" s="39" t="str">
        <f t="shared" si="9"/>
        <v>EVA  20*30 BRUT VERRE PAS DE REHAUSSE - CADRES CLASSIQUES - Pas de passepartout - DOS AVEC CHEVALET (Largeur 15mm Profondeur 30mm)</v>
      </c>
      <c r="AF125" s="39" t="str">
        <f t="shared" si="1"/>
        <v>EVA  20*30 BRUT VERRE PAS DE REHAUSSE - CADRES CLASSIQUES - Pas de passepartout - DOS AVEC CHEVALET (Largeur 15mm Profondeur 30mm)</v>
      </c>
      <c r="AG125" s="53">
        <f t="shared" si="10"/>
        <v>7.08886615</v>
      </c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196.0</v>
      </c>
      <c r="B126" s="40" t="s">
        <v>192</v>
      </c>
      <c r="C126" s="41" t="s">
        <v>72</v>
      </c>
      <c r="D126" s="42" t="s">
        <v>207</v>
      </c>
      <c r="E126" s="43">
        <v>345707.0</v>
      </c>
      <c r="F126" s="44" t="s">
        <v>207</v>
      </c>
      <c r="G126" s="45">
        <v>5.0</v>
      </c>
      <c r="H126" s="54">
        <v>5.5</v>
      </c>
      <c r="I126" s="47" t="s">
        <v>39</v>
      </c>
      <c r="J126" s="39" t="str">
        <f t="shared" si="2"/>
        <v>072208 - CARLA</v>
      </c>
      <c r="K126" s="47">
        <f t="shared" si="3"/>
        <v>10.22</v>
      </c>
      <c r="L126" s="48">
        <v>5.6</v>
      </c>
      <c r="M126" s="49">
        <f t="shared" si="4"/>
        <v>10.22</v>
      </c>
      <c r="N126" s="39" t="s">
        <v>118</v>
      </c>
      <c r="O126" s="39" t="s">
        <v>41</v>
      </c>
      <c r="P126" s="39" t="s">
        <v>155</v>
      </c>
      <c r="Q126" s="47" t="str">
        <f t="shared" si="5"/>
        <v>20*50</v>
      </c>
      <c r="R126" s="50">
        <v>1.0</v>
      </c>
      <c r="S126" s="51">
        <v>0.0</v>
      </c>
      <c r="T126" s="51">
        <v>0.0</v>
      </c>
      <c r="U126" s="51">
        <v>0.0</v>
      </c>
      <c r="V126" s="39" t="s">
        <v>119</v>
      </c>
      <c r="W126" s="47" t="str">
        <f t="shared" si="6"/>
        <v>BRUT - 20*50 - PAS DE REHAUSSE - (Largeur 15mm Profondeur 30mm)</v>
      </c>
      <c r="X126" s="50">
        <v>0.0</v>
      </c>
      <c r="Y126" s="52" t="s">
        <v>44</v>
      </c>
      <c r="Z126" s="47" t="str">
        <f t="shared" si="7"/>
        <v>CARLA BRUT 20*50 VERRE</v>
      </c>
      <c r="AA126" s="39" t="s">
        <v>45</v>
      </c>
      <c r="AB126" s="39" t="s">
        <v>46</v>
      </c>
      <c r="AC126" s="47" t="str">
        <f t="shared" si="8"/>
        <v>CARLA BRUT 20*50 VERRE</v>
      </c>
      <c r="AD126" s="39" t="s">
        <v>47</v>
      </c>
      <c r="AE126" s="39" t="str">
        <f t="shared" si="9"/>
        <v>EVA  20*50 BRUT VERRE PAS DE REHAUSSE - CADRES CLASSIQUES - Pas de passepartout - Dos classique sans chevalet (Largeur 15mm Profondeur 30mm)</v>
      </c>
      <c r="AF126" s="39" t="str">
        <f t="shared" si="1"/>
        <v>EVA  20*50 BRUT VERRE PAS DE REHAUSSE - CADRES CLASSIQUES - Pas de passepartout - Dos classique sans chevalet (Largeur 15mm Profondeur 30mm)</v>
      </c>
      <c r="AG126" s="53">
        <f t="shared" si="10"/>
        <v>9.9</v>
      </c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197.0</v>
      </c>
      <c r="B127" s="40" t="s">
        <v>192</v>
      </c>
      <c r="C127" s="41" t="s">
        <v>74</v>
      </c>
      <c r="D127" s="42" t="s">
        <v>208</v>
      </c>
      <c r="E127" s="43">
        <v>345707.0</v>
      </c>
      <c r="F127" s="44" t="s">
        <v>208</v>
      </c>
      <c r="G127" s="45">
        <v>2.0</v>
      </c>
      <c r="H127" s="54">
        <v>6.198295395457079</v>
      </c>
      <c r="I127" s="47" t="s">
        <v>39</v>
      </c>
      <c r="J127" s="39" t="str">
        <f t="shared" si="2"/>
        <v>072209 - CARLA</v>
      </c>
      <c r="K127" s="47">
        <f t="shared" si="3"/>
        <v>11.534</v>
      </c>
      <c r="L127" s="48">
        <v>6.32</v>
      </c>
      <c r="M127" s="49">
        <f t="shared" si="4"/>
        <v>11.534</v>
      </c>
      <c r="N127" s="39" t="s">
        <v>118</v>
      </c>
      <c r="O127" s="39" t="s">
        <v>41</v>
      </c>
      <c r="P127" s="39" t="s">
        <v>155</v>
      </c>
      <c r="Q127" s="47" t="str">
        <f t="shared" si="5"/>
        <v>20*60</v>
      </c>
      <c r="R127" s="50">
        <v>1.0</v>
      </c>
      <c r="S127" s="51">
        <v>0.0</v>
      </c>
      <c r="T127" s="51">
        <v>0.0</v>
      </c>
      <c r="U127" s="51">
        <v>0.0</v>
      </c>
      <c r="V127" s="39" t="s">
        <v>119</v>
      </c>
      <c r="W127" s="47" t="str">
        <f t="shared" si="6"/>
        <v>BRUT - 20*60 - PAS DE REHAUSSE - (Largeur 15mm Profondeur 30mm)</v>
      </c>
      <c r="X127" s="50">
        <v>0.0</v>
      </c>
      <c r="Y127" s="52" t="s">
        <v>44</v>
      </c>
      <c r="Z127" s="47" t="str">
        <f t="shared" si="7"/>
        <v>CARLA BRUT 20*60 VERRE</v>
      </c>
      <c r="AA127" s="39" t="s">
        <v>45</v>
      </c>
      <c r="AB127" s="39" t="s">
        <v>46</v>
      </c>
      <c r="AC127" s="47" t="str">
        <f t="shared" si="8"/>
        <v>CARLA BRUT 20*60 VERRE</v>
      </c>
      <c r="AD127" s="39" t="s">
        <v>47</v>
      </c>
      <c r="AE127" s="39" t="str">
        <f t="shared" si="9"/>
        <v>EVA  20*60 BRUT VERRE PAS DE REHAUSSE - CADRES CLASSIQUES - Pas de passepartout - Dos classique sans chevalet (Largeur 15mm Profondeur 30mm)</v>
      </c>
      <c r="AF127" s="39" t="str">
        <f t="shared" si="1"/>
        <v>EVA  20*60 BRUT VERRE PAS DE REHAUSSE - CADRES CLASSIQUES - Pas de passepartout - Dos classique sans chevalet (Largeur 15mm Profondeur 30mm)</v>
      </c>
      <c r="AG127" s="53">
        <f t="shared" si="10"/>
        <v>11.15693171</v>
      </c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198.0</v>
      </c>
      <c r="B128" s="40" t="s">
        <v>192</v>
      </c>
      <c r="C128" s="41" t="s">
        <v>76</v>
      </c>
      <c r="D128" s="42" t="s">
        <v>209</v>
      </c>
      <c r="E128" s="43">
        <v>345707.0</v>
      </c>
      <c r="F128" s="44" t="s">
        <v>209</v>
      </c>
      <c r="G128" s="45">
        <v>8.0</v>
      </c>
      <c r="H128" s="54">
        <v>3.94</v>
      </c>
      <c r="I128" s="47" t="s">
        <v>39</v>
      </c>
      <c r="J128" s="39" t="str">
        <f t="shared" si="2"/>
        <v>072210 - CARLA</v>
      </c>
      <c r="K128" s="47">
        <f t="shared" si="3"/>
        <v>7.31825</v>
      </c>
      <c r="L128" s="48">
        <v>4.01</v>
      </c>
      <c r="M128" s="49">
        <f t="shared" si="4"/>
        <v>7.31825</v>
      </c>
      <c r="N128" s="39" t="s">
        <v>118</v>
      </c>
      <c r="O128" s="39" t="s">
        <v>41</v>
      </c>
      <c r="P128" s="39" t="s">
        <v>155</v>
      </c>
      <c r="Q128" s="47" t="str">
        <f t="shared" si="5"/>
        <v>21*29,7</v>
      </c>
      <c r="R128" s="50">
        <v>1.0</v>
      </c>
      <c r="S128" s="51">
        <v>0.0</v>
      </c>
      <c r="T128" s="51">
        <v>0.0</v>
      </c>
      <c r="U128" s="51">
        <v>0.0</v>
      </c>
      <c r="V128" s="39" t="s">
        <v>119</v>
      </c>
      <c r="W128" s="47" t="str">
        <f t="shared" si="6"/>
        <v>BRUT - 21*29,7 - PAS DE REHAUSSE - (Largeur 15mm Profondeur 30mm)</v>
      </c>
      <c r="X128" s="50">
        <v>0.0</v>
      </c>
      <c r="Y128" s="52" t="s">
        <v>44</v>
      </c>
      <c r="Z128" s="47" t="str">
        <f t="shared" si="7"/>
        <v>CARLA BRUT 21*29,7 VERRE</v>
      </c>
      <c r="AA128" s="39" t="s">
        <v>45</v>
      </c>
      <c r="AB128" s="39" t="s">
        <v>46</v>
      </c>
      <c r="AC128" s="47" t="str">
        <f t="shared" si="8"/>
        <v>CARLA BRUT 21*29,7 VERRE</v>
      </c>
      <c r="AD128" s="39" t="s">
        <v>47</v>
      </c>
      <c r="AE128" s="39" t="str">
        <f t="shared" si="9"/>
        <v>EVA  21*29,7 BRUT VERRE PAS DE REHAUSSE - CADRES CLASSIQUES - Pas de passepartout - Dos classique sans chevalet (Largeur 15mm Profondeur 30mm)</v>
      </c>
      <c r="AF128" s="39" t="str">
        <f t="shared" si="1"/>
        <v>EVA  21*29,7 BRUT VERRE PAS DE REHAUSSE - CADRES CLASSIQUES - Pas de passepartout - Dos classique sans chevalet (Largeur 15mm Profondeur 30mm)</v>
      </c>
      <c r="AG128" s="53">
        <f t="shared" si="10"/>
        <v>7.092</v>
      </c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199.0</v>
      </c>
      <c r="B129" s="40" t="s">
        <v>192</v>
      </c>
      <c r="C129" s="41" t="s">
        <v>78</v>
      </c>
      <c r="D129" s="42" t="s">
        <v>210</v>
      </c>
      <c r="E129" s="43">
        <v>345707.0</v>
      </c>
      <c r="F129" s="44" t="s">
        <v>210</v>
      </c>
      <c r="G129" s="45">
        <v>5.0</v>
      </c>
      <c r="H129" s="54">
        <v>5.7889968150700115</v>
      </c>
      <c r="I129" s="47" t="s">
        <v>39</v>
      </c>
      <c r="J129" s="39" t="str">
        <f t="shared" si="2"/>
        <v>072211 - CARLA</v>
      </c>
      <c r="K129" s="47">
        <f t="shared" si="3"/>
        <v>10.7675</v>
      </c>
      <c r="L129" s="48">
        <v>5.9</v>
      </c>
      <c r="M129" s="49">
        <f t="shared" si="4"/>
        <v>10.7675</v>
      </c>
      <c r="N129" s="39" t="s">
        <v>118</v>
      </c>
      <c r="O129" s="39" t="s">
        <v>41</v>
      </c>
      <c r="P129" s="39" t="s">
        <v>155</v>
      </c>
      <c r="Q129" s="47" t="str">
        <f t="shared" si="5"/>
        <v>23*50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119</v>
      </c>
      <c r="W129" s="47" t="str">
        <f t="shared" si="6"/>
        <v>BRUT - 23*50 - PAS DE REHAUSSE - (Largeur 15mm Profondeur 30mm)</v>
      </c>
      <c r="X129" s="50">
        <v>0.0</v>
      </c>
      <c r="Y129" s="52" t="s">
        <v>44</v>
      </c>
      <c r="Z129" s="47" t="str">
        <f t="shared" si="7"/>
        <v>CARLA BRUT 23*50 VERRE</v>
      </c>
      <c r="AA129" s="39" t="s">
        <v>45</v>
      </c>
      <c r="AB129" s="39" t="s">
        <v>46</v>
      </c>
      <c r="AC129" s="47" t="str">
        <f t="shared" si="8"/>
        <v>CARLA BRUT 23*50 VERRE</v>
      </c>
      <c r="AD129" s="39" t="s">
        <v>47</v>
      </c>
      <c r="AE129" s="39" t="str">
        <f t="shared" si="9"/>
        <v>EVA  23*50 BRUT VERRE PAS DE REHAUSSE - CADRES CLASSIQUES - Pas de passepartout - Dos classique sans chevalet (Largeur 15mm Profondeur 30mm)</v>
      </c>
      <c r="AF129" s="39" t="str">
        <f t="shared" si="1"/>
        <v>EVA  23*50 BRUT VERRE PAS DE REHAUSSE - CADRES CLASSIQUES - Pas de passepartout - Dos classique sans chevalet (Largeur 15mm Profondeur 30mm)</v>
      </c>
      <c r="AG129" s="53">
        <f t="shared" si="10"/>
        <v>10.42019427</v>
      </c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200.0</v>
      </c>
      <c r="B130" s="40" t="s">
        <v>192</v>
      </c>
      <c r="C130" s="41" t="s">
        <v>80</v>
      </c>
      <c r="D130" s="42" t="s">
        <v>211</v>
      </c>
      <c r="E130" s="43">
        <v>345707.0</v>
      </c>
      <c r="F130" s="44" t="s">
        <v>211</v>
      </c>
      <c r="G130" s="45">
        <v>2.0</v>
      </c>
      <c r="H130" s="54">
        <v>4.292060829400422</v>
      </c>
      <c r="I130" s="47" t="s">
        <v>39</v>
      </c>
      <c r="J130" s="39" t="str">
        <f t="shared" si="2"/>
        <v>072212 - CARLA</v>
      </c>
      <c r="K130" s="47">
        <f t="shared" si="3"/>
        <v>7.97525</v>
      </c>
      <c r="L130" s="48">
        <v>4.37</v>
      </c>
      <c r="M130" s="49">
        <f t="shared" si="4"/>
        <v>7.97525</v>
      </c>
      <c r="N130" s="39" t="s">
        <v>118</v>
      </c>
      <c r="O130" s="39" t="s">
        <v>41</v>
      </c>
      <c r="P130" s="39" t="s">
        <v>155</v>
      </c>
      <c r="Q130" s="47" t="str">
        <f t="shared" si="5"/>
        <v>24*30</v>
      </c>
      <c r="R130" s="50">
        <v>1.0</v>
      </c>
      <c r="S130" s="51">
        <v>0.0</v>
      </c>
      <c r="T130" s="51">
        <v>0.0</v>
      </c>
      <c r="U130" s="51">
        <v>0.0</v>
      </c>
      <c r="V130" s="39" t="s">
        <v>119</v>
      </c>
      <c r="W130" s="47" t="str">
        <f t="shared" si="6"/>
        <v>BRUT - 24*30 - PAS DE REHAUSSE - (Largeur 15mm Profondeur 30mm)</v>
      </c>
      <c r="X130" s="50">
        <v>0.0</v>
      </c>
      <c r="Y130" s="52" t="s">
        <v>44</v>
      </c>
      <c r="Z130" s="47" t="str">
        <f t="shared" si="7"/>
        <v>CARLA BRUT 24*30 VERRE</v>
      </c>
      <c r="AA130" s="39" t="s">
        <v>45</v>
      </c>
      <c r="AB130" s="39" t="s">
        <v>46</v>
      </c>
      <c r="AC130" s="47" t="str">
        <f t="shared" si="8"/>
        <v>CARLA BRUT 24*30 VERRE</v>
      </c>
      <c r="AD130" s="39" t="s">
        <v>47</v>
      </c>
      <c r="AE130" s="39" t="str">
        <f t="shared" si="9"/>
        <v>EVA  24*30 BRUT VERRE PAS DE REHAUSSE - CADRES CLASSIQUES - Pas de passepartout - Dos classique sans chevalet (Largeur 15mm Profondeur 30mm)</v>
      </c>
      <c r="AF130" s="39" t="str">
        <f t="shared" si="1"/>
        <v>EVA  24*30 BRUT VERRE PAS DE REHAUSSE - CADRES CLASSIQUES - Pas de passepartout - Dos classique sans chevalet (Largeur 15mm Profondeur 30mm)</v>
      </c>
      <c r="AG130" s="53">
        <f t="shared" si="10"/>
        <v>7.725709493</v>
      </c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201.0</v>
      </c>
      <c r="B131" s="40" t="s">
        <v>192</v>
      </c>
      <c r="C131" s="41" t="s">
        <v>82</v>
      </c>
      <c r="D131" s="42" t="s">
        <v>212</v>
      </c>
      <c r="E131" s="43">
        <v>345707.0</v>
      </c>
      <c r="F131" s="44" t="s">
        <v>212</v>
      </c>
      <c r="G131" s="45">
        <v>9.0</v>
      </c>
      <c r="H131" s="54">
        <v>6.01836141108904</v>
      </c>
      <c r="I131" s="47" t="s">
        <v>39</v>
      </c>
      <c r="J131" s="39" t="str">
        <f t="shared" si="2"/>
        <v>072213 - CARLA</v>
      </c>
      <c r="K131" s="47">
        <f t="shared" si="3"/>
        <v>11.18725</v>
      </c>
      <c r="L131" s="48">
        <v>6.13</v>
      </c>
      <c r="M131" s="49">
        <f t="shared" si="4"/>
        <v>11.18725</v>
      </c>
      <c r="N131" s="39" t="s">
        <v>118</v>
      </c>
      <c r="O131" s="39" t="s">
        <v>41</v>
      </c>
      <c r="P131" s="39" t="s">
        <v>155</v>
      </c>
      <c r="Q131" s="47" t="str">
        <f t="shared" si="5"/>
        <v>25*50</v>
      </c>
      <c r="R131" s="50">
        <v>1.0</v>
      </c>
      <c r="S131" s="51">
        <v>0.0</v>
      </c>
      <c r="T131" s="51">
        <v>0.0</v>
      </c>
      <c r="U131" s="51">
        <v>0.0</v>
      </c>
      <c r="V131" s="39" t="s">
        <v>119</v>
      </c>
      <c r="W131" s="47" t="str">
        <f t="shared" si="6"/>
        <v>BRUT - 25*50 - PAS DE REHAUSSE - (Largeur 15mm Profondeur 30mm)</v>
      </c>
      <c r="X131" s="50">
        <v>0.0</v>
      </c>
      <c r="Y131" s="52" t="s">
        <v>44</v>
      </c>
      <c r="Z131" s="47" t="str">
        <f t="shared" si="7"/>
        <v>CARLA BRUT 25*50 VERRE</v>
      </c>
      <c r="AA131" s="39" t="s">
        <v>45</v>
      </c>
      <c r="AB131" s="39" t="s">
        <v>46</v>
      </c>
      <c r="AC131" s="47" t="str">
        <f t="shared" si="8"/>
        <v>CARLA BRUT 25*50 VERRE</v>
      </c>
      <c r="AD131" s="39" t="s">
        <v>47</v>
      </c>
      <c r="AE131" s="39" t="str">
        <f t="shared" si="9"/>
        <v>EVA  25*50 BRUT VERRE PAS DE REHAUSSE - CADRES CLASSIQUES - Pas de passepartout - Dos classique sans chevalet (Largeur 15mm Profondeur 30mm)</v>
      </c>
      <c r="AF131" s="39" t="str">
        <f t="shared" si="1"/>
        <v>EVA  25*50 BRUT VERRE PAS DE REHAUSSE - CADRES CLASSIQUES - Pas de passepartout - Dos classique sans chevalet (Largeur 15mm Profondeur 30mm)</v>
      </c>
      <c r="AG131" s="53">
        <f t="shared" si="10"/>
        <v>10.83305054</v>
      </c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202.0</v>
      </c>
      <c r="B132" s="40" t="s">
        <v>192</v>
      </c>
      <c r="C132" s="41" t="s">
        <v>84</v>
      </c>
      <c r="D132" s="42" t="s">
        <v>213</v>
      </c>
      <c r="E132" s="43">
        <v>345707.0</v>
      </c>
      <c r="F132" s="44" t="s">
        <v>213</v>
      </c>
      <c r="G132" s="45">
        <v>6.0</v>
      </c>
      <c r="H132" s="54">
        <v>5.852912317398832</v>
      </c>
      <c r="I132" s="47" t="s">
        <v>39</v>
      </c>
      <c r="J132" s="39" t="str">
        <f t="shared" si="2"/>
        <v>072214 - CARLA</v>
      </c>
      <c r="K132" s="47">
        <f t="shared" si="3"/>
        <v>10.877</v>
      </c>
      <c r="L132" s="48">
        <v>5.96</v>
      </c>
      <c r="M132" s="49">
        <f t="shared" si="4"/>
        <v>10.877</v>
      </c>
      <c r="N132" s="39" t="s">
        <v>118</v>
      </c>
      <c r="O132" s="39" t="s">
        <v>41</v>
      </c>
      <c r="P132" s="39" t="s">
        <v>155</v>
      </c>
      <c r="Q132" s="47" t="str">
        <f t="shared" si="5"/>
        <v>29,7*42</v>
      </c>
      <c r="R132" s="50">
        <v>1.0</v>
      </c>
      <c r="S132" s="51">
        <v>0.0</v>
      </c>
      <c r="T132" s="51">
        <v>0.0</v>
      </c>
      <c r="U132" s="51">
        <v>0.0</v>
      </c>
      <c r="V132" s="39" t="s">
        <v>119</v>
      </c>
      <c r="W132" s="47" t="str">
        <f t="shared" si="6"/>
        <v>BRUT - 29,7*42 - PAS DE REHAUSSE - (Largeur 15mm Profondeur 30mm)</v>
      </c>
      <c r="X132" s="50">
        <v>0.0</v>
      </c>
      <c r="Y132" s="52" t="s">
        <v>44</v>
      </c>
      <c r="Z132" s="47" t="str">
        <f t="shared" si="7"/>
        <v>CARLA BRUT 29,7*42 VERRE</v>
      </c>
      <c r="AA132" s="39" t="s">
        <v>45</v>
      </c>
      <c r="AB132" s="39" t="s">
        <v>46</v>
      </c>
      <c r="AC132" s="47" t="str">
        <f t="shared" si="8"/>
        <v>CARLA BRUT 29,7*42 VERRE</v>
      </c>
      <c r="AD132" s="39" t="s">
        <v>47</v>
      </c>
      <c r="AE132" s="39" t="str">
        <f t="shared" si="9"/>
        <v>EVA  29,7*42 BRUT VERRE PAS DE REHAUSSE - CADRES CLASSIQUES - Pas de passepartout - Dos classique sans chevalet (Largeur 15mm Profondeur 30mm)</v>
      </c>
      <c r="AF132" s="39" t="str">
        <f t="shared" si="1"/>
        <v>EVA  29,7*42 BRUT VERRE PAS DE REHAUSSE - CADRES CLASSIQUES - Pas de passepartout - Dos classique sans chevalet (Largeur 15mm Profondeur 30mm)</v>
      </c>
      <c r="AG132" s="53">
        <f t="shared" si="10"/>
        <v>10.53524217</v>
      </c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203.0</v>
      </c>
      <c r="B133" s="40" t="s">
        <v>192</v>
      </c>
      <c r="C133" s="41" t="s">
        <v>86</v>
      </c>
      <c r="D133" s="42" t="s">
        <v>214</v>
      </c>
      <c r="E133" s="43">
        <v>345707.0</v>
      </c>
      <c r="F133" s="44" t="s">
        <v>214</v>
      </c>
      <c r="G133" s="45">
        <v>3.0</v>
      </c>
      <c r="H133" s="54">
        <v>4.822763615185697</v>
      </c>
      <c r="I133" s="47" t="s">
        <v>39</v>
      </c>
      <c r="J133" s="39" t="str">
        <f t="shared" si="2"/>
        <v>072215 - CARLA</v>
      </c>
      <c r="K133" s="47">
        <f t="shared" si="3"/>
        <v>8.96075</v>
      </c>
      <c r="L133" s="48">
        <v>4.91</v>
      </c>
      <c r="M133" s="49">
        <f t="shared" si="4"/>
        <v>8.96075</v>
      </c>
      <c r="N133" s="39" t="s">
        <v>118</v>
      </c>
      <c r="O133" s="39" t="s">
        <v>41</v>
      </c>
      <c r="P133" s="39" t="s">
        <v>155</v>
      </c>
      <c r="Q133" s="47" t="str">
        <f t="shared" si="5"/>
        <v>30*30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119</v>
      </c>
      <c r="W133" s="47" t="str">
        <f t="shared" si="6"/>
        <v>BRUT - 30*30 - PAS DE REHAUSSE - (Largeur 15mm Profondeur 30mm)</v>
      </c>
      <c r="X133" s="50">
        <v>0.0</v>
      </c>
      <c r="Y133" s="52" t="s">
        <v>44</v>
      </c>
      <c r="Z133" s="47" t="str">
        <f t="shared" si="7"/>
        <v>CARLA BRUT 30*30 VERRE</v>
      </c>
      <c r="AA133" s="39" t="s">
        <v>45</v>
      </c>
      <c r="AB133" s="39" t="s">
        <v>46</v>
      </c>
      <c r="AC133" s="47" t="str">
        <f t="shared" si="8"/>
        <v>CARLA BRUT 30*30 VERRE</v>
      </c>
      <c r="AD133" s="39" t="s">
        <v>47</v>
      </c>
      <c r="AE133" s="39" t="str">
        <f t="shared" si="9"/>
        <v>EVA  30*30 BRUT VERRE PAS DE REHAUSSE - CADRES CLASSIQUES - Pas de passepartout - Dos classique sans chevalet (Largeur 15mm Profondeur 30mm)</v>
      </c>
      <c r="AF133" s="39" t="str">
        <f t="shared" si="1"/>
        <v>EVA  30*30 BRUT VERRE PAS DE REHAUSSE - CADRES CLASSIQUES - Pas de passepartout - Dos classique sans chevalet (Largeur 15mm Profondeur 30mm)</v>
      </c>
      <c r="AG133" s="53">
        <f t="shared" si="10"/>
        <v>8.680974507</v>
      </c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204.0</v>
      </c>
      <c r="B134" s="40" t="s">
        <v>192</v>
      </c>
      <c r="C134" s="41" t="s">
        <v>88</v>
      </c>
      <c r="D134" s="42" t="s">
        <v>215</v>
      </c>
      <c r="E134" s="43">
        <v>345707.0</v>
      </c>
      <c r="F134" s="44" t="s">
        <v>215</v>
      </c>
      <c r="G134" s="45">
        <v>0.0</v>
      </c>
      <c r="H134" s="54">
        <v>5.707268258161157</v>
      </c>
      <c r="I134" s="47" t="s">
        <v>39</v>
      </c>
      <c r="J134" s="39" t="str">
        <f t="shared" si="2"/>
        <v>072216 - CARLA</v>
      </c>
      <c r="K134" s="47">
        <f t="shared" si="3"/>
        <v>10.6215</v>
      </c>
      <c r="L134" s="48">
        <v>5.82</v>
      </c>
      <c r="M134" s="49">
        <f t="shared" si="4"/>
        <v>10.6215</v>
      </c>
      <c r="N134" s="39" t="s">
        <v>118</v>
      </c>
      <c r="O134" s="39" t="s">
        <v>41</v>
      </c>
      <c r="P134" s="39" t="s">
        <v>155</v>
      </c>
      <c r="Q134" s="47" t="str">
        <f t="shared" si="5"/>
        <v>30*40</v>
      </c>
      <c r="R134" s="50">
        <v>1.0</v>
      </c>
      <c r="S134" s="51">
        <v>0.0</v>
      </c>
      <c r="T134" s="51">
        <v>0.0</v>
      </c>
      <c r="U134" s="51">
        <v>0.0</v>
      </c>
      <c r="V134" s="39" t="s">
        <v>119</v>
      </c>
      <c r="W134" s="47" t="str">
        <f t="shared" si="6"/>
        <v>BRUT - 30*40 - PAS DE REHAUSSE - (Largeur 15mm Profondeur 30mm)</v>
      </c>
      <c r="X134" s="50">
        <v>0.0</v>
      </c>
      <c r="Y134" s="52" t="s">
        <v>44</v>
      </c>
      <c r="Z134" s="47" t="str">
        <f t="shared" si="7"/>
        <v>CARLA BRUT 30*40 VERRE</v>
      </c>
      <c r="AA134" s="39" t="s">
        <v>45</v>
      </c>
      <c r="AB134" s="39" t="s">
        <v>46</v>
      </c>
      <c r="AC134" s="47" t="str">
        <f t="shared" si="8"/>
        <v>CARLA BRUT 30*40 VERRE</v>
      </c>
      <c r="AD134" s="39" t="s">
        <v>47</v>
      </c>
      <c r="AE134" s="39" t="str">
        <f t="shared" si="9"/>
        <v>EVA  30*40 BRUT VERRE PAS DE REHAUSSE - CADRES CLASSIQUES - Pas de passepartout - Dos classique sans chevalet (Largeur 15mm Profondeur 30mm)</v>
      </c>
      <c r="AF134" s="39" t="str">
        <f t="shared" si="1"/>
        <v>EVA  30*40 BRUT VERRE PAS DE REHAUSSE - CADRES CLASSIQUES - Pas de passepartout - Dos classique sans chevalet (Largeur 15mm Profondeur 30mm)</v>
      </c>
      <c r="AG134" s="53">
        <f t="shared" si="10"/>
        <v>10.27308286</v>
      </c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205.0</v>
      </c>
      <c r="B135" s="40" t="s">
        <v>192</v>
      </c>
      <c r="C135" s="41" t="s">
        <v>90</v>
      </c>
      <c r="D135" s="42" t="s">
        <v>216</v>
      </c>
      <c r="E135" s="43">
        <v>345707.0</v>
      </c>
      <c r="F135" s="44" t="s">
        <v>216</v>
      </c>
      <c r="G135" s="45">
        <v>7.0</v>
      </c>
      <c r="H135" s="54">
        <v>6.149520579648888</v>
      </c>
      <c r="I135" s="47" t="s">
        <v>39</v>
      </c>
      <c r="J135" s="39" t="str">
        <f t="shared" si="2"/>
        <v>072217 - CARLA</v>
      </c>
      <c r="K135" s="47">
        <f t="shared" si="3"/>
        <v>11.44275</v>
      </c>
      <c r="L135" s="48">
        <v>6.27</v>
      </c>
      <c r="M135" s="49">
        <f t="shared" si="4"/>
        <v>11.44275</v>
      </c>
      <c r="N135" s="39" t="s">
        <v>118</v>
      </c>
      <c r="O135" s="39" t="s">
        <v>41</v>
      </c>
      <c r="P135" s="39" t="s">
        <v>155</v>
      </c>
      <c r="Q135" s="47" t="str">
        <f t="shared" si="5"/>
        <v>30*45</v>
      </c>
      <c r="R135" s="50">
        <v>1.0</v>
      </c>
      <c r="S135" s="51">
        <v>0.0</v>
      </c>
      <c r="T135" s="51">
        <v>0.0</v>
      </c>
      <c r="U135" s="51">
        <v>0.0</v>
      </c>
      <c r="V135" s="39" t="s">
        <v>119</v>
      </c>
      <c r="W135" s="47" t="str">
        <f t="shared" si="6"/>
        <v>BRUT - 30*45 - PAS DE REHAUSSE - (Largeur 15mm Profondeur 30mm)</v>
      </c>
      <c r="X135" s="50">
        <v>0.0</v>
      </c>
      <c r="Y135" s="52" t="s">
        <v>44</v>
      </c>
      <c r="Z135" s="47" t="str">
        <f t="shared" si="7"/>
        <v>CARLA BRUT 30*45 VERRE</v>
      </c>
      <c r="AA135" s="39" t="s">
        <v>45</v>
      </c>
      <c r="AB135" s="39" t="s">
        <v>46</v>
      </c>
      <c r="AC135" s="47" t="str">
        <f t="shared" si="8"/>
        <v>CARLA BRUT 30*45 VERRE</v>
      </c>
      <c r="AD135" s="39" t="s">
        <v>47</v>
      </c>
      <c r="AE135" s="39" t="str">
        <f t="shared" si="9"/>
        <v>EVA  30*45 BRUT VERRE PAS DE REHAUSSE - CADRES CLASSIQUES - Pas de passepartout - Dos classique sans chevalet (Largeur 15mm Profondeur 30mm)</v>
      </c>
      <c r="AF135" s="39" t="str">
        <f t="shared" si="1"/>
        <v>EVA  30*45 BRUT VERRE PAS DE REHAUSSE - CADRES CLASSIQUES - Pas de passepartout - Dos classique sans chevalet (Largeur 15mm Profondeur 30mm)</v>
      </c>
      <c r="AG135" s="53">
        <f t="shared" si="10"/>
        <v>11.06913704</v>
      </c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206.0</v>
      </c>
      <c r="B136" s="40" t="s">
        <v>192</v>
      </c>
      <c r="C136" s="41" t="s">
        <v>92</v>
      </c>
      <c r="D136" s="42" t="s">
        <v>217</v>
      </c>
      <c r="E136" s="43">
        <v>345707.0</v>
      </c>
      <c r="F136" s="44" t="s">
        <v>217</v>
      </c>
      <c r="G136" s="45">
        <v>4.0</v>
      </c>
      <c r="H136" s="54">
        <v>11.093155566110518</v>
      </c>
      <c r="I136" s="47" t="s">
        <v>39</v>
      </c>
      <c r="J136" s="39" t="str">
        <f t="shared" si="2"/>
        <v>072218 - CARLA</v>
      </c>
      <c r="K136" s="47">
        <f t="shared" si="3"/>
        <v>20.6225</v>
      </c>
      <c r="L136" s="48">
        <v>11.3</v>
      </c>
      <c r="M136" s="49">
        <f t="shared" si="4"/>
        <v>20.6225</v>
      </c>
      <c r="N136" s="39" t="s">
        <v>118</v>
      </c>
      <c r="O136" s="39" t="s">
        <v>41</v>
      </c>
      <c r="P136" s="39" t="s">
        <v>155</v>
      </c>
      <c r="Q136" s="47" t="str">
        <f t="shared" si="5"/>
        <v>33*95</v>
      </c>
      <c r="R136" s="50">
        <v>1.0</v>
      </c>
      <c r="S136" s="51">
        <v>0.0</v>
      </c>
      <c r="T136" s="51">
        <v>0.0</v>
      </c>
      <c r="U136" s="51">
        <v>0.0</v>
      </c>
      <c r="V136" s="39" t="s">
        <v>119</v>
      </c>
      <c r="W136" s="47" t="str">
        <f t="shared" si="6"/>
        <v>BRUT - 33*95 - PAS DE REHAUSSE - (Largeur 15mm Profondeur 30mm)</v>
      </c>
      <c r="X136" s="50">
        <v>0.0</v>
      </c>
      <c r="Y136" s="52" t="s">
        <v>44</v>
      </c>
      <c r="Z136" s="47" t="str">
        <f t="shared" si="7"/>
        <v>CARLA BRUT 33*95 VERRE</v>
      </c>
      <c r="AA136" s="39" t="s">
        <v>45</v>
      </c>
      <c r="AB136" s="39" t="s">
        <v>46</v>
      </c>
      <c r="AC136" s="47" t="str">
        <f t="shared" si="8"/>
        <v>CARLA BRUT 33*95 VERRE</v>
      </c>
      <c r="AD136" s="39" t="s">
        <v>47</v>
      </c>
      <c r="AE136" s="39" t="str">
        <f t="shared" si="9"/>
        <v>EVA  33*95 BRUT VERRE PAS DE REHAUSSE - CADRES CLASSIQUES - Pas de passepartout - Dos classique sans chevalet (Largeur 15mm Profondeur 30mm)</v>
      </c>
      <c r="AF136" s="39" t="str">
        <f t="shared" si="1"/>
        <v>EVA  33*95 BRUT VERRE PAS DE REHAUSSE - CADRES CLASSIQUES - Pas de passepartout - Dos classique sans chevalet (Largeur 15mm Profondeur 30mm)</v>
      </c>
      <c r="AG136" s="53">
        <f t="shared" si="10"/>
        <v>19.96768002</v>
      </c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207.0</v>
      </c>
      <c r="B137" s="40" t="s">
        <v>192</v>
      </c>
      <c r="C137" s="41" t="s">
        <v>94</v>
      </c>
      <c r="D137" s="42" t="s">
        <v>218</v>
      </c>
      <c r="E137" s="43">
        <v>345707.0</v>
      </c>
      <c r="F137" s="44" t="s">
        <v>218</v>
      </c>
      <c r="G137" s="45">
        <v>1.0</v>
      </c>
      <c r="H137" s="54">
        <v>6.722932069696461</v>
      </c>
      <c r="I137" s="47" t="s">
        <v>39</v>
      </c>
      <c r="J137" s="39" t="str">
        <f t="shared" si="2"/>
        <v>072219 - CARLA</v>
      </c>
      <c r="K137" s="47">
        <f t="shared" si="3"/>
        <v>12.50125</v>
      </c>
      <c r="L137" s="48">
        <v>6.85</v>
      </c>
      <c r="M137" s="49">
        <f t="shared" si="4"/>
        <v>12.50125</v>
      </c>
      <c r="N137" s="39" t="s">
        <v>118</v>
      </c>
      <c r="O137" s="39" t="s">
        <v>41</v>
      </c>
      <c r="P137" s="39" t="s">
        <v>155</v>
      </c>
      <c r="Q137" s="47" t="str">
        <f t="shared" si="5"/>
        <v>40*40</v>
      </c>
      <c r="R137" s="50">
        <v>1.0</v>
      </c>
      <c r="S137" s="51">
        <v>0.0</v>
      </c>
      <c r="T137" s="51">
        <v>0.0</v>
      </c>
      <c r="U137" s="51">
        <v>0.0</v>
      </c>
      <c r="V137" s="39" t="s">
        <v>119</v>
      </c>
      <c r="W137" s="47" t="str">
        <f t="shared" si="6"/>
        <v>BRUT - 40*40 - PAS DE REHAUSSE - (Largeur 15mm Profondeur 30mm)</v>
      </c>
      <c r="X137" s="50">
        <v>0.0</v>
      </c>
      <c r="Y137" s="52" t="s">
        <v>44</v>
      </c>
      <c r="Z137" s="47" t="str">
        <f t="shared" si="7"/>
        <v>CARLA BRUT 40*40 VERRE</v>
      </c>
      <c r="AA137" s="39" t="s">
        <v>45</v>
      </c>
      <c r="AB137" s="39" t="s">
        <v>46</v>
      </c>
      <c r="AC137" s="47" t="str">
        <f t="shared" si="8"/>
        <v>CARLA BRUT 40*40 VERRE</v>
      </c>
      <c r="AD137" s="39" t="s">
        <v>47</v>
      </c>
      <c r="AE137" s="39" t="str">
        <f t="shared" si="9"/>
        <v>EVA  40*40 BRUT VERRE PAS DE REHAUSSE - CADRES CLASSIQUES - Pas de passepartout - Dos classique sans chevalet (Largeur 15mm Profondeur 30mm)</v>
      </c>
      <c r="AF137" s="39" t="str">
        <f t="shared" si="1"/>
        <v>EVA  40*40 BRUT VERRE PAS DE REHAUSSE - CADRES CLASSIQUES - Pas de passepartout - Dos classique sans chevalet (Largeur 15mm Profondeur 30mm)</v>
      </c>
      <c r="AG137" s="53">
        <f t="shared" si="10"/>
        <v>12.10127773</v>
      </c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208.0</v>
      </c>
      <c r="B138" s="40" t="s">
        <v>192</v>
      </c>
      <c r="C138" s="41" t="s">
        <v>96</v>
      </c>
      <c r="D138" s="42" t="s">
        <v>219</v>
      </c>
      <c r="E138" s="43">
        <v>345707.0</v>
      </c>
      <c r="F138" s="44" t="s">
        <v>219</v>
      </c>
      <c r="G138" s="45">
        <v>7.0</v>
      </c>
      <c r="H138" s="54">
        <v>7.738595881231769</v>
      </c>
      <c r="I138" s="47" t="s">
        <v>39</v>
      </c>
      <c r="J138" s="39" t="str">
        <f t="shared" si="2"/>
        <v>072220 - CARLA</v>
      </c>
      <c r="K138" s="47">
        <f t="shared" si="3"/>
        <v>14.39925</v>
      </c>
      <c r="L138" s="48">
        <v>7.89</v>
      </c>
      <c r="M138" s="49">
        <f t="shared" si="4"/>
        <v>14.39925</v>
      </c>
      <c r="N138" s="39" t="s">
        <v>118</v>
      </c>
      <c r="O138" s="39" t="s">
        <v>41</v>
      </c>
      <c r="P138" s="39" t="s">
        <v>155</v>
      </c>
      <c r="Q138" s="47" t="str">
        <f t="shared" si="5"/>
        <v>40*50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119</v>
      </c>
      <c r="W138" s="47" t="str">
        <f t="shared" si="6"/>
        <v>BRUT - 40*50 - PAS DE REHAUSSE - (Largeur 15mm Profondeur 30mm)</v>
      </c>
      <c r="X138" s="50">
        <v>0.0</v>
      </c>
      <c r="Y138" s="52" t="s">
        <v>44</v>
      </c>
      <c r="Z138" s="47" t="str">
        <f t="shared" si="7"/>
        <v>CARLA BRUT 40*50 VERRE</v>
      </c>
      <c r="AA138" s="39" t="s">
        <v>45</v>
      </c>
      <c r="AB138" s="39" t="s">
        <v>46</v>
      </c>
      <c r="AC138" s="47" t="str">
        <f t="shared" si="8"/>
        <v>CARLA BRUT 40*50 VERRE</v>
      </c>
      <c r="AD138" s="39" t="s">
        <v>47</v>
      </c>
      <c r="AE138" s="39" t="str">
        <f t="shared" si="9"/>
        <v>EVA  40*50 BRUT VERRE PAS DE REHAUSSE - CADRES CLASSIQUES - Pas de passepartout - Dos classique sans chevalet (Largeur 15mm Profondeur 30mm)</v>
      </c>
      <c r="AF138" s="39" t="str">
        <f t="shared" si="1"/>
        <v>EVA  40*50 BRUT VERRE PAS DE REHAUSSE - CADRES CLASSIQUES - Pas de passepartout - Dos classique sans chevalet (Largeur 15mm Profondeur 30mm)</v>
      </c>
      <c r="AG138" s="53">
        <f t="shared" si="10"/>
        <v>13.92947259</v>
      </c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209.0</v>
      </c>
      <c r="B139" s="40" t="s">
        <v>192</v>
      </c>
      <c r="C139" s="41" t="s">
        <v>98</v>
      </c>
      <c r="D139" s="42" t="s">
        <v>220</v>
      </c>
      <c r="E139" s="43">
        <v>345707.0</v>
      </c>
      <c r="F139" s="44" t="s">
        <v>220</v>
      </c>
      <c r="G139" s="45">
        <v>4.0</v>
      </c>
      <c r="H139" s="54">
        <v>8.95</v>
      </c>
      <c r="I139" s="47" t="s">
        <v>39</v>
      </c>
      <c r="J139" s="39" t="str">
        <f t="shared" si="2"/>
        <v>072221 - CARLA</v>
      </c>
      <c r="K139" s="47">
        <f t="shared" si="3"/>
        <v>16.644</v>
      </c>
      <c r="L139" s="48">
        <v>9.12</v>
      </c>
      <c r="M139" s="49">
        <f t="shared" si="4"/>
        <v>16.644</v>
      </c>
      <c r="N139" s="39" t="s">
        <v>118</v>
      </c>
      <c r="O139" s="39" t="s">
        <v>41</v>
      </c>
      <c r="P139" s="39" t="s">
        <v>155</v>
      </c>
      <c r="Q139" s="47" t="str">
        <f t="shared" si="5"/>
        <v>40*60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119</v>
      </c>
      <c r="W139" s="47" t="str">
        <f t="shared" si="6"/>
        <v>BRUT - 40*60 - PAS DE REHAUSSE - (Largeur 15mm Profondeur 30mm)</v>
      </c>
      <c r="X139" s="50">
        <v>0.0</v>
      </c>
      <c r="Y139" s="52" t="s">
        <v>44</v>
      </c>
      <c r="Z139" s="47" t="str">
        <f t="shared" si="7"/>
        <v>CARLA BRUT 40*60 VERRE</v>
      </c>
      <c r="AA139" s="39" t="s">
        <v>45</v>
      </c>
      <c r="AB139" s="39" t="s">
        <v>46</v>
      </c>
      <c r="AC139" s="47" t="str">
        <f t="shared" si="8"/>
        <v>CARLA BRUT 40*60 VERRE</v>
      </c>
      <c r="AD139" s="39" t="s">
        <v>47</v>
      </c>
      <c r="AE139" s="39" t="str">
        <f t="shared" si="9"/>
        <v>EVA  40*60 BRUT VERRE PAS DE REHAUSSE - CADRES CLASSIQUES - Pas de passepartout - Dos classique sans chevalet (Largeur 15mm Profondeur 30mm)</v>
      </c>
      <c r="AF139" s="39" t="str">
        <f t="shared" si="1"/>
        <v>EVA  40*60 BRUT VERRE PAS DE REHAUSSE - CADRES CLASSIQUES - Pas de passepartout - Dos classique sans chevalet (Largeur 15mm Profondeur 30mm)</v>
      </c>
      <c r="AG139" s="53">
        <f t="shared" si="10"/>
        <v>16.11</v>
      </c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210.0</v>
      </c>
      <c r="B140" s="40" t="s">
        <v>192</v>
      </c>
      <c r="C140" s="41" t="s">
        <v>102</v>
      </c>
      <c r="D140" s="42" t="s">
        <v>221</v>
      </c>
      <c r="E140" s="43">
        <v>345707.0</v>
      </c>
      <c r="F140" s="44" t="s">
        <v>221</v>
      </c>
      <c r="G140" s="45">
        <v>1.0</v>
      </c>
      <c r="H140" s="54">
        <v>9.630484913227193</v>
      </c>
      <c r="I140" s="47" t="s">
        <v>39</v>
      </c>
      <c r="J140" s="39" t="str">
        <f t="shared" si="2"/>
        <v>072222 - CARLA</v>
      </c>
      <c r="K140" s="47">
        <f t="shared" si="3"/>
        <v>17.90325</v>
      </c>
      <c r="L140" s="48">
        <v>9.81</v>
      </c>
      <c r="M140" s="49">
        <f t="shared" si="4"/>
        <v>17.90325</v>
      </c>
      <c r="N140" s="39" t="s">
        <v>118</v>
      </c>
      <c r="O140" s="39" t="s">
        <v>41</v>
      </c>
      <c r="P140" s="39" t="s">
        <v>155</v>
      </c>
      <c r="Q140" s="47" t="str">
        <f t="shared" si="5"/>
        <v>46*61</v>
      </c>
      <c r="R140" s="50">
        <v>1.0</v>
      </c>
      <c r="S140" s="51">
        <v>0.0</v>
      </c>
      <c r="T140" s="51">
        <v>0.0</v>
      </c>
      <c r="U140" s="51">
        <v>0.0</v>
      </c>
      <c r="V140" s="39" t="s">
        <v>119</v>
      </c>
      <c r="W140" s="47" t="str">
        <f t="shared" si="6"/>
        <v>BRUT - 46*61 - PAS DE REHAUSSE - (Largeur 15mm Profondeur 30mm)</v>
      </c>
      <c r="X140" s="50">
        <v>0.0</v>
      </c>
      <c r="Y140" s="52" t="s">
        <v>44</v>
      </c>
      <c r="Z140" s="47" t="str">
        <f t="shared" si="7"/>
        <v>CARLA BRUT 46*61 VERRE</v>
      </c>
      <c r="AA140" s="39" t="s">
        <v>45</v>
      </c>
      <c r="AB140" s="39" t="s">
        <v>46</v>
      </c>
      <c r="AC140" s="47" t="str">
        <f t="shared" si="8"/>
        <v>CARLA BRUT 46*61 VERRE</v>
      </c>
      <c r="AD140" s="39" t="s">
        <v>47</v>
      </c>
      <c r="AE140" s="39" t="str">
        <f t="shared" si="9"/>
        <v>EVA  46*61 BRUT VERRE PAS DE REHAUSSE - CADRES CLASSIQUES - Pas de passepartout - Dos classique sans chevalet (Largeur 15mm Profondeur 30mm)</v>
      </c>
      <c r="AF140" s="39" t="str">
        <f t="shared" si="1"/>
        <v>EVA  46*61 BRUT VERRE PAS DE REHAUSSE - CADRES CLASSIQUES - Pas de passepartout - Dos classique sans chevalet (Largeur 15mm Profondeur 30mm)</v>
      </c>
      <c r="AG140" s="53">
        <f t="shared" si="10"/>
        <v>17.33487284</v>
      </c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211.0</v>
      </c>
      <c r="B141" s="40" t="s">
        <v>192</v>
      </c>
      <c r="C141" s="41" t="s">
        <v>104</v>
      </c>
      <c r="D141" s="42" t="s">
        <v>222</v>
      </c>
      <c r="E141" s="43">
        <v>345707.0</v>
      </c>
      <c r="F141" s="44" t="s">
        <v>222</v>
      </c>
      <c r="G141" s="45">
        <v>0.0</v>
      </c>
      <c r="H141" s="54">
        <v>8.885418861326917</v>
      </c>
      <c r="I141" s="47" t="s">
        <v>39</v>
      </c>
      <c r="J141" s="39" t="str">
        <f t="shared" si="2"/>
        <v>072223 - CARLA</v>
      </c>
      <c r="K141" s="47">
        <f t="shared" si="3"/>
        <v>16.51625</v>
      </c>
      <c r="L141" s="48">
        <v>9.05</v>
      </c>
      <c r="M141" s="49">
        <f t="shared" si="4"/>
        <v>16.51625</v>
      </c>
      <c r="N141" s="39" t="s">
        <v>118</v>
      </c>
      <c r="O141" s="39" t="s">
        <v>41</v>
      </c>
      <c r="P141" s="39" t="s">
        <v>155</v>
      </c>
      <c r="Q141" s="47" t="str">
        <f t="shared" si="5"/>
        <v>50*50</v>
      </c>
      <c r="R141" s="50">
        <v>1.0</v>
      </c>
      <c r="S141" s="51">
        <v>0.0</v>
      </c>
      <c r="T141" s="51">
        <v>0.0</v>
      </c>
      <c r="U141" s="51">
        <v>0.0</v>
      </c>
      <c r="V141" s="39" t="s">
        <v>119</v>
      </c>
      <c r="W141" s="47" t="str">
        <f t="shared" si="6"/>
        <v>BRUT - 50*50 - PAS DE REHAUSSE - (Largeur 15mm Profondeur 30mm)</v>
      </c>
      <c r="X141" s="50">
        <v>0.0</v>
      </c>
      <c r="Y141" s="52" t="s">
        <v>44</v>
      </c>
      <c r="Z141" s="47" t="str">
        <f t="shared" si="7"/>
        <v>CARLA BRUT 50*50 VERRE</v>
      </c>
      <c r="AA141" s="39" t="s">
        <v>45</v>
      </c>
      <c r="AB141" s="39" t="s">
        <v>46</v>
      </c>
      <c r="AC141" s="47" t="str">
        <f t="shared" si="8"/>
        <v>CARLA BRUT 50*50 VERRE</v>
      </c>
      <c r="AD141" s="39" t="s">
        <v>47</v>
      </c>
      <c r="AE141" s="39" t="str">
        <f t="shared" si="9"/>
        <v>EVA  50*50 BRUT VERRE PAS DE REHAUSSE - CADRES CLASSIQUES - Pas de passepartout - Dos classique sans chevalet (Largeur 15mm Profondeur 30mm)</v>
      </c>
      <c r="AF141" s="39" t="str">
        <f t="shared" si="1"/>
        <v>EVA  50*50 BRUT VERRE PAS DE REHAUSSE - CADRES CLASSIQUES - Pas de passepartout - Dos classique sans chevalet (Largeur 15mm Profondeur 30mm)</v>
      </c>
      <c r="AG141" s="53">
        <f t="shared" si="10"/>
        <v>15.99375395</v>
      </c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212.0</v>
      </c>
      <c r="B142" s="40" t="s">
        <v>192</v>
      </c>
      <c r="C142" s="41" t="s">
        <v>106</v>
      </c>
      <c r="D142" s="42" t="s">
        <v>223</v>
      </c>
      <c r="E142" s="43">
        <v>345707.0</v>
      </c>
      <c r="F142" s="44" t="s">
        <v>223</v>
      </c>
      <c r="G142" s="45">
        <v>5.0</v>
      </c>
      <c r="H142" s="54">
        <v>10.032241841422067</v>
      </c>
      <c r="I142" s="47" t="s">
        <v>39</v>
      </c>
      <c r="J142" s="39" t="str">
        <f t="shared" si="2"/>
        <v>072224 - CARLA</v>
      </c>
      <c r="K142" s="47">
        <f t="shared" si="3"/>
        <v>18.6515</v>
      </c>
      <c r="L142" s="48">
        <v>10.22</v>
      </c>
      <c r="M142" s="49">
        <f t="shared" si="4"/>
        <v>18.6515</v>
      </c>
      <c r="N142" s="39" t="s">
        <v>118</v>
      </c>
      <c r="O142" s="39" t="s">
        <v>41</v>
      </c>
      <c r="P142" s="39" t="s">
        <v>155</v>
      </c>
      <c r="Q142" s="47" t="str">
        <f t="shared" si="5"/>
        <v>50*60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119</v>
      </c>
      <c r="W142" s="47" t="str">
        <f t="shared" si="6"/>
        <v>BRUT - 50*60 - PAS DE REHAUSSE - (Largeur 15mm Profondeur 30mm)</v>
      </c>
      <c r="X142" s="50">
        <v>0.0</v>
      </c>
      <c r="Y142" s="52" t="s">
        <v>44</v>
      </c>
      <c r="Z142" s="47" t="str">
        <f t="shared" si="7"/>
        <v>CARLA BRUT 50*60 VERRE</v>
      </c>
      <c r="AA142" s="39" t="s">
        <v>45</v>
      </c>
      <c r="AB142" s="39" t="s">
        <v>46</v>
      </c>
      <c r="AC142" s="47" t="str">
        <f t="shared" si="8"/>
        <v>CARLA BRUT 50*60 VERRE</v>
      </c>
      <c r="AD142" s="39" t="s">
        <v>47</v>
      </c>
      <c r="AE142" s="39" t="str">
        <f t="shared" si="9"/>
        <v>EVA  50*60 BRUT VERRE PAS DE REHAUSSE - CADRES CLASSIQUES - Pas de passepartout - Dos classique sans chevalet (Largeur 15mm Profondeur 30mm)</v>
      </c>
      <c r="AF142" s="39" t="str">
        <f t="shared" si="1"/>
        <v>EVA  50*60 BRUT VERRE PAS DE REHAUSSE - CADRES CLASSIQUES - Pas de passepartout - Dos classique sans chevalet (Largeur 15mm Profondeur 30mm)</v>
      </c>
      <c r="AG142" s="53">
        <f t="shared" si="10"/>
        <v>18.05803531</v>
      </c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213.0</v>
      </c>
      <c r="B143" s="40" t="s">
        <v>192</v>
      </c>
      <c r="C143" s="41" t="s">
        <v>108</v>
      </c>
      <c r="D143" s="42" t="s">
        <v>224</v>
      </c>
      <c r="E143" s="43">
        <v>345707.0</v>
      </c>
      <c r="F143" s="44" t="s">
        <v>224</v>
      </c>
      <c r="G143" s="45">
        <v>2.0</v>
      </c>
      <c r="H143" s="54">
        <v>10.605653331469645</v>
      </c>
      <c r="I143" s="47" t="s">
        <v>39</v>
      </c>
      <c r="J143" s="39" t="str">
        <f t="shared" si="2"/>
        <v>072225 - CARLA</v>
      </c>
      <c r="K143" s="47">
        <f t="shared" si="3"/>
        <v>19.72825</v>
      </c>
      <c r="L143" s="48">
        <v>10.81</v>
      </c>
      <c r="M143" s="49">
        <f t="shared" si="4"/>
        <v>19.72825</v>
      </c>
      <c r="N143" s="39" t="s">
        <v>118</v>
      </c>
      <c r="O143" s="39" t="s">
        <v>41</v>
      </c>
      <c r="P143" s="39" t="s">
        <v>155</v>
      </c>
      <c r="Q143" s="47" t="str">
        <f t="shared" si="5"/>
        <v>50*65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119</v>
      </c>
      <c r="W143" s="47" t="str">
        <f t="shared" si="6"/>
        <v>BRUT - 50*65 - PAS DE REHAUSSE - (Largeur 15mm Profondeur 30mm)</v>
      </c>
      <c r="X143" s="50">
        <v>0.0</v>
      </c>
      <c r="Y143" s="52" t="s">
        <v>44</v>
      </c>
      <c r="Z143" s="47" t="str">
        <f t="shared" si="7"/>
        <v>CARLA BRUT 50*65 VERRE</v>
      </c>
      <c r="AA143" s="39" t="s">
        <v>45</v>
      </c>
      <c r="AB143" s="39" t="s">
        <v>46</v>
      </c>
      <c r="AC143" s="47" t="str">
        <f t="shared" si="8"/>
        <v>CARLA BRUT 50*65 VERRE</v>
      </c>
      <c r="AD143" s="39" t="s">
        <v>47</v>
      </c>
      <c r="AE143" s="39" t="str">
        <f t="shared" si="9"/>
        <v>EVA  50*65 BRUT VERRE PAS DE REHAUSSE - CADRES CLASSIQUES - Pas de passepartout - Dos classique sans chevalet (Largeur 15mm Profondeur 30mm)</v>
      </c>
      <c r="AF143" s="39" t="str">
        <f t="shared" si="1"/>
        <v>EVA  50*65 BRUT VERRE PAS DE REHAUSSE - CADRES CLASSIQUES - Pas de passepartout - Dos classique sans chevalet (Largeur 15mm Profondeur 30mm)</v>
      </c>
      <c r="AG143" s="53">
        <f t="shared" si="10"/>
        <v>19.090176</v>
      </c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214.0</v>
      </c>
      <c r="B144" s="40" t="s">
        <v>192</v>
      </c>
      <c r="C144" s="41" t="s">
        <v>110</v>
      </c>
      <c r="D144" s="42" t="s">
        <v>225</v>
      </c>
      <c r="E144" s="43">
        <v>345707.0</v>
      </c>
      <c r="F144" s="44" t="s">
        <v>225</v>
      </c>
      <c r="G144" s="45">
        <v>9.0</v>
      </c>
      <c r="H144" s="54">
        <v>11.179064821517214</v>
      </c>
      <c r="I144" s="47" t="s">
        <v>39</v>
      </c>
      <c r="J144" s="39" t="str">
        <f t="shared" si="2"/>
        <v>072226 - CARLA</v>
      </c>
      <c r="K144" s="47">
        <f t="shared" si="3"/>
        <v>20.78675</v>
      </c>
      <c r="L144" s="48">
        <v>11.39</v>
      </c>
      <c r="M144" s="49">
        <f t="shared" si="4"/>
        <v>20.78675</v>
      </c>
      <c r="N144" s="39" t="s">
        <v>118</v>
      </c>
      <c r="O144" s="39" t="s">
        <v>41</v>
      </c>
      <c r="P144" s="39" t="s">
        <v>155</v>
      </c>
      <c r="Q144" s="47" t="str">
        <f t="shared" si="5"/>
        <v>50*70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119</v>
      </c>
      <c r="W144" s="47" t="str">
        <f t="shared" si="6"/>
        <v>BRUT - 50*70 - PAS DE REHAUSSE - (Largeur 15mm Profondeur 30mm)</v>
      </c>
      <c r="X144" s="50">
        <v>0.0</v>
      </c>
      <c r="Y144" s="52" t="s">
        <v>44</v>
      </c>
      <c r="Z144" s="47" t="str">
        <f t="shared" si="7"/>
        <v>CARLA BRUT 50*70 VERRE</v>
      </c>
      <c r="AA144" s="39" t="s">
        <v>45</v>
      </c>
      <c r="AB144" s="39" t="s">
        <v>46</v>
      </c>
      <c r="AC144" s="47" t="str">
        <f t="shared" si="8"/>
        <v>CARLA BRUT 50*70 VERRE</v>
      </c>
      <c r="AD144" s="39" t="s">
        <v>47</v>
      </c>
      <c r="AE144" s="39" t="str">
        <f t="shared" si="9"/>
        <v>EVA  50*70 BRUT VERRE PAS DE REHAUSSE - CADRES CLASSIQUES - Pas de passepartout - Dos classique sans chevalet (Largeur 15mm Profondeur 30mm)</v>
      </c>
      <c r="AF144" s="39" t="str">
        <f t="shared" si="1"/>
        <v>EVA  50*70 BRUT VERRE PAS DE REHAUSSE - CADRES CLASSIQUES - Pas de passepartout - Dos classique sans chevalet (Largeur 15mm Profondeur 30mm)</v>
      </c>
      <c r="AG144" s="53">
        <f t="shared" si="10"/>
        <v>20.12231668</v>
      </c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215.0</v>
      </c>
      <c r="B145" s="40" t="s">
        <v>192</v>
      </c>
      <c r="C145" s="41" t="s">
        <v>114</v>
      </c>
      <c r="D145" s="42" t="s">
        <v>226</v>
      </c>
      <c r="E145" s="43">
        <v>345707.0</v>
      </c>
      <c r="F145" s="44" t="s">
        <v>226</v>
      </c>
      <c r="G145" s="45">
        <v>6.0</v>
      </c>
      <c r="H145" s="54">
        <v>13.866188287387054</v>
      </c>
      <c r="I145" s="47" t="s">
        <v>39</v>
      </c>
      <c r="J145" s="39" t="str">
        <f t="shared" si="2"/>
        <v>072227 - CARLA</v>
      </c>
      <c r="K145" s="47">
        <f t="shared" si="3"/>
        <v>25.78725</v>
      </c>
      <c r="L145" s="48">
        <v>14.13</v>
      </c>
      <c r="M145" s="49">
        <f t="shared" si="4"/>
        <v>25.78725</v>
      </c>
      <c r="N145" s="39" t="s">
        <v>118</v>
      </c>
      <c r="O145" s="39" t="s">
        <v>41</v>
      </c>
      <c r="P145" s="39" t="s">
        <v>155</v>
      </c>
      <c r="Q145" s="47" t="str">
        <f t="shared" si="5"/>
        <v>60*80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119</v>
      </c>
      <c r="W145" s="47" t="str">
        <f t="shared" si="6"/>
        <v>BRUT - 60*80 - PAS DE REHAUSSE - (Largeur 15mm Profondeur 30mm)</v>
      </c>
      <c r="X145" s="50">
        <v>0.0</v>
      </c>
      <c r="Y145" s="52" t="s">
        <v>44</v>
      </c>
      <c r="Z145" s="47" t="str">
        <f t="shared" si="7"/>
        <v>CARLA BRUT 60*80 VERRE</v>
      </c>
      <c r="AA145" s="39" t="s">
        <v>45</v>
      </c>
      <c r="AB145" s="39" t="s">
        <v>46</v>
      </c>
      <c r="AC145" s="47" t="str">
        <f t="shared" si="8"/>
        <v>CARLA BRUT 60*80 VERRE</v>
      </c>
      <c r="AD145" s="39" t="s">
        <v>47</v>
      </c>
      <c r="AE145" s="39" t="str">
        <f t="shared" si="9"/>
        <v>EVA  60*80 BRUT VERRE PAS DE REHAUSSE - CADRES CLASSIQUES - Pas de passepartout - Dos classique sans chevalet (Largeur 15mm Profondeur 30mm)</v>
      </c>
      <c r="AF145" s="39" t="str">
        <f t="shared" si="1"/>
        <v>EVA  60*80 BRUT VERRE PAS DE REHAUSSE - CADRES CLASSIQUES - Pas de passepartout - Dos classique sans chevalet (Largeur 15mm Profondeur 30mm)</v>
      </c>
      <c r="AG145" s="53">
        <f t="shared" si="10"/>
        <v>24.95913892</v>
      </c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97.0</v>
      </c>
      <c r="B146" s="40" t="s">
        <v>227</v>
      </c>
      <c r="C146" s="41" t="s">
        <v>37</v>
      </c>
      <c r="D146" s="42" t="s">
        <v>228</v>
      </c>
      <c r="E146" s="43">
        <v>345707.0</v>
      </c>
      <c r="F146" s="44" t="s">
        <v>228</v>
      </c>
      <c r="G146" s="45">
        <v>6.0</v>
      </c>
      <c r="H146" s="54">
        <v>6.107601977632459</v>
      </c>
      <c r="I146" s="47" t="s">
        <v>39</v>
      </c>
      <c r="J146" s="39" t="str">
        <f t="shared" si="2"/>
        <v>070867 - CARLA</v>
      </c>
      <c r="K146" s="47">
        <f t="shared" si="3"/>
        <v>11.3515</v>
      </c>
      <c r="L146" s="48">
        <v>6.22</v>
      </c>
      <c r="M146" s="49">
        <f t="shared" si="4"/>
        <v>11.3515</v>
      </c>
      <c r="N146" s="39" t="s">
        <v>40</v>
      </c>
      <c r="O146" s="39" t="s">
        <v>41</v>
      </c>
      <c r="P146" s="39" t="s">
        <v>229</v>
      </c>
      <c r="Q146" s="47" t="str">
        <f t="shared" si="5"/>
        <v>10*15</v>
      </c>
      <c r="R146" s="50">
        <v>1.0</v>
      </c>
      <c r="S146" s="51">
        <v>1.0</v>
      </c>
      <c r="T146" s="51">
        <v>1.0</v>
      </c>
      <c r="U146" s="51">
        <v>0.0</v>
      </c>
      <c r="V146" s="47" t="s">
        <v>230</v>
      </c>
      <c r="W146" s="47" t="str">
        <f t="shared" si="6"/>
        <v>CHENE - 10*15 - REHAUSSE 10mm - (Largeur 15mm Profondeur 30mm)</v>
      </c>
      <c r="X146" s="50">
        <v>0.0</v>
      </c>
      <c r="Y146" s="52" t="s">
        <v>44</v>
      </c>
      <c r="Z146" s="47" t="str">
        <f t="shared" si="7"/>
        <v>CARLA CHENE+ REHAUSSE 13 10*15 VERRE</v>
      </c>
      <c r="AA146" s="39" t="s">
        <v>45</v>
      </c>
      <c r="AB146" s="39" t="s">
        <v>46</v>
      </c>
      <c r="AC146" s="47" t="str">
        <f t="shared" si="8"/>
        <v>CARLA CHENE+ REHAUSSE 13 10*15 VERRE</v>
      </c>
      <c r="AD146" s="39" t="s">
        <v>47</v>
      </c>
      <c r="AE146" s="39" t="str">
        <f t="shared" si="9"/>
        <v>EVA  10*15 CHENE VERRE REHAUSSE 10mm - CADRES GALERIE - Pas de passepartout - Dos classique sans chevalet (Largeur 15mm Profondeur 30mm)</v>
      </c>
      <c r="AF146" s="39" t="str">
        <f t="shared" si="1"/>
        <v>EVA  10*15 CHENE VERRE REHAUSSE 10mm - CADRES GALERIE - Pas de passepartout - Dos classique sans chevalet (Largeur 15mm Profondeur 30mm)</v>
      </c>
      <c r="AG146" s="53">
        <f t="shared" si="10"/>
        <v>10.99368356</v>
      </c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97.0</v>
      </c>
      <c r="B147" s="40" t="s">
        <v>227</v>
      </c>
      <c r="C147" s="41" t="s">
        <v>37</v>
      </c>
      <c r="D147" s="42" t="s">
        <v>231</v>
      </c>
      <c r="E147" s="43">
        <v>345707.0</v>
      </c>
      <c r="F147" s="44" t="s">
        <v>228</v>
      </c>
      <c r="G147" s="45">
        <v>6.0</v>
      </c>
      <c r="H147" s="54">
        <v>6.107601977632459</v>
      </c>
      <c r="I147" s="47" t="s">
        <v>39</v>
      </c>
      <c r="J147" s="39" t="str">
        <f t="shared" si="2"/>
        <v>070867DC - CARLA</v>
      </c>
      <c r="K147" s="47">
        <f t="shared" si="3"/>
        <v>11.3515</v>
      </c>
      <c r="L147" s="48">
        <v>6.22</v>
      </c>
      <c r="M147" s="49">
        <f t="shared" si="4"/>
        <v>11.3515</v>
      </c>
      <c r="N147" s="39" t="s">
        <v>40</v>
      </c>
      <c r="O147" s="39" t="s">
        <v>41</v>
      </c>
      <c r="P147" s="39" t="s">
        <v>229</v>
      </c>
      <c r="Q147" s="47" t="str">
        <f t="shared" si="5"/>
        <v>10*15</v>
      </c>
      <c r="R147" s="50">
        <v>1.0</v>
      </c>
      <c r="S147" s="51">
        <v>1.0</v>
      </c>
      <c r="T147" s="51">
        <v>1.0</v>
      </c>
      <c r="U147" s="51">
        <v>1.0</v>
      </c>
      <c r="V147" s="47" t="s">
        <v>230</v>
      </c>
      <c r="W147" s="47" t="str">
        <f t="shared" si="6"/>
        <v>CHENE - 10*15 - REHAUSSE 10mm - (Largeur 15mm Profondeur 30mm)</v>
      </c>
      <c r="X147" s="50">
        <v>0.0</v>
      </c>
      <c r="Y147" s="52" t="s">
        <v>44</v>
      </c>
      <c r="Z147" s="47" t="str">
        <f t="shared" si="7"/>
        <v>CARLA CHENE+ REHAUSSE 13 10*15 VERRE</v>
      </c>
      <c r="AA147" s="39" t="s">
        <v>45</v>
      </c>
      <c r="AB147" s="39" t="s">
        <v>49</v>
      </c>
      <c r="AC147" s="47" t="str">
        <f t="shared" si="8"/>
        <v>CARLA CHENE+ REHAUSSE 13 10*15 VERRE</v>
      </c>
      <c r="AD147" s="39" t="s">
        <v>47</v>
      </c>
      <c r="AE147" s="39" t="str">
        <f t="shared" si="9"/>
        <v>EVA  10*15 CHENE VERRE REHAUSSE 10mm - CADRES GALERIE - Pas de passepartout - DOS AVEC CHEVALET (Largeur 15mm Profondeur 30mm)</v>
      </c>
      <c r="AF147" s="39" t="str">
        <f t="shared" si="1"/>
        <v>EVA  10*15 CHENE VERRE REHAUSSE 10mm - CADRES GALERIE - Pas de passepartout - DOS AVEC CHEVALET (Largeur 15mm Profondeur 30mm)</v>
      </c>
      <c r="AG147" s="53">
        <f t="shared" si="10"/>
        <v>10.99368356</v>
      </c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98.0</v>
      </c>
      <c r="B148" s="40" t="s">
        <v>227</v>
      </c>
      <c r="C148" s="41" t="s">
        <v>50</v>
      </c>
      <c r="D148" s="42" t="s">
        <v>232</v>
      </c>
      <c r="E148" s="43">
        <v>345707.0</v>
      </c>
      <c r="F148" s="44" t="s">
        <v>232</v>
      </c>
      <c r="G148" s="45">
        <v>3.0</v>
      </c>
      <c r="H148" s="54">
        <v>5.239508149878302</v>
      </c>
      <c r="I148" s="47" t="s">
        <v>39</v>
      </c>
      <c r="J148" s="39" t="str">
        <f t="shared" si="2"/>
        <v>070868 - CARLA</v>
      </c>
      <c r="K148" s="47">
        <f t="shared" si="3"/>
        <v>9.7455</v>
      </c>
      <c r="L148" s="48">
        <v>5.34</v>
      </c>
      <c r="M148" s="49">
        <f t="shared" si="4"/>
        <v>9.7455</v>
      </c>
      <c r="N148" s="39" t="s">
        <v>40</v>
      </c>
      <c r="O148" s="39" t="s">
        <v>41</v>
      </c>
      <c r="P148" s="39" t="s">
        <v>229</v>
      </c>
      <c r="Q148" s="47" t="str">
        <f t="shared" si="5"/>
        <v>11*11</v>
      </c>
      <c r="R148" s="50">
        <v>1.0</v>
      </c>
      <c r="S148" s="51">
        <v>1.0</v>
      </c>
      <c r="T148" s="51">
        <v>0.0</v>
      </c>
      <c r="U148" s="51">
        <v>0.0</v>
      </c>
      <c r="V148" s="47" t="s">
        <v>230</v>
      </c>
      <c r="W148" s="47" t="str">
        <f t="shared" si="6"/>
        <v>CHENE - 11*11 - REHAUSSE 10mm - (Largeur 15mm Profondeur 30mm)</v>
      </c>
      <c r="X148" s="50">
        <v>0.0</v>
      </c>
      <c r="Y148" s="52" t="s">
        <v>44</v>
      </c>
      <c r="Z148" s="47" t="str">
        <f t="shared" si="7"/>
        <v>CARLA CHENE+ REHAUSSE 13 11*11 VERRE</v>
      </c>
      <c r="AA148" s="39" t="s">
        <v>45</v>
      </c>
      <c r="AB148" s="39" t="s">
        <v>46</v>
      </c>
      <c r="AC148" s="47" t="str">
        <f t="shared" si="8"/>
        <v>CARLA CHENE+ REHAUSSE 13 11*11 VERRE</v>
      </c>
      <c r="AD148" s="39" t="s">
        <v>47</v>
      </c>
      <c r="AE148" s="39" t="str">
        <f t="shared" si="9"/>
        <v>EVA  11*11 CHENE VERRE REHAUSSE 10mm - CADRES GALERIE - Pas de passepartout - Dos classique sans chevalet (Largeur 15mm Profondeur 30mm)</v>
      </c>
      <c r="AF148" s="39" t="str">
        <f t="shared" si="1"/>
        <v>EVA  11*11 CHENE VERRE REHAUSSE 10mm - CADRES GALERIE - Pas de passepartout - Dos classique sans chevalet (Largeur 15mm Profondeur 30mm)</v>
      </c>
      <c r="AG148" s="53">
        <f t="shared" si="10"/>
        <v>9.43111467</v>
      </c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99.0</v>
      </c>
      <c r="B149" s="40" t="s">
        <v>227</v>
      </c>
      <c r="C149" s="41" t="s">
        <v>52</v>
      </c>
      <c r="D149" s="42" t="s">
        <v>233</v>
      </c>
      <c r="E149" s="43">
        <v>345707.0</v>
      </c>
      <c r="F149" s="44" t="s">
        <v>233</v>
      </c>
      <c r="G149" s="45">
        <v>6.0</v>
      </c>
      <c r="H149" s="54">
        <v>7.2314007415168335</v>
      </c>
      <c r="I149" s="47" t="s">
        <v>39</v>
      </c>
      <c r="J149" s="39" t="str">
        <f t="shared" si="2"/>
        <v>070870 - CARLA</v>
      </c>
      <c r="K149" s="47">
        <f t="shared" si="3"/>
        <v>13.45025</v>
      </c>
      <c r="L149" s="48">
        <v>7.37</v>
      </c>
      <c r="M149" s="49">
        <f t="shared" si="4"/>
        <v>13.45025</v>
      </c>
      <c r="N149" s="39" t="s">
        <v>40</v>
      </c>
      <c r="O149" s="39" t="s">
        <v>41</v>
      </c>
      <c r="P149" s="39" t="s">
        <v>229</v>
      </c>
      <c r="Q149" s="47" t="str">
        <f t="shared" si="5"/>
        <v>13*18</v>
      </c>
      <c r="R149" s="50">
        <v>1.0</v>
      </c>
      <c r="S149" s="51">
        <v>1.0</v>
      </c>
      <c r="T149" s="51">
        <v>1.0</v>
      </c>
      <c r="U149" s="51">
        <v>0.0</v>
      </c>
      <c r="V149" s="47" t="s">
        <v>230</v>
      </c>
      <c r="W149" s="47" t="str">
        <f t="shared" si="6"/>
        <v>CHENE - 13*18 - REHAUSSE 10mm - (Largeur 15mm Profondeur 30mm)</v>
      </c>
      <c r="X149" s="50">
        <v>0.0</v>
      </c>
      <c r="Y149" s="52" t="s">
        <v>44</v>
      </c>
      <c r="Z149" s="47" t="str">
        <f t="shared" si="7"/>
        <v>CARLA CHENE+ REHAUSSE 13 13*18 VERRE</v>
      </c>
      <c r="AA149" s="39" t="s">
        <v>45</v>
      </c>
      <c r="AB149" s="39" t="s">
        <v>46</v>
      </c>
      <c r="AC149" s="47" t="str">
        <f t="shared" si="8"/>
        <v>CARLA CHENE+ REHAUSSE 13 13*18 VERRE</v>
      </c>
      <c r="AD149" s="39" t="s">
        <v>47</v>
      </c>
      <c r="AE149" s="39" t="str">
        <f t="shared" si="9"/>
        <v>EVA  13*18 CHENE VERRE REHAUSSE 10mm - CADRES GALERIE - Pas de passepartout - Dos classique sans chevalet (Largeur 15mm Profondeur 30mm)</v>
      </c>
      <c r="AF149" s="39" t="str">
        <f t="shared" si="1"/>
        <v>EVA  13*18 CHENE VERRE REHAUSSE 10mm - CADRES GALERIE - Pas de passepartout - Dos classique sans chevalet (Largeur 15mm Profondeur 30mm)</v>
      </c>
      <c r="AG149" s="53">
        <f t="shared" si="10"/>
        <v>13.01652133</v>
      </c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99.0</v>
      </c>
      <c r="B150" s="40" t="s">
        <v>227</v>
      </c>
      <c r="C150" s="41" t="s">
        <v>52</v>
      </c>
      <c r="D150" s="42" t="s">
        <v>234</v>
      </c>
      <c r="E150" s="43">
        <v>345707.0</v>
      </c>
      <c r="F150" s="44" t="s">
        <v>233</v>
      </c>
      <c r="G150" s="45">
        <v>6.0</v>
      </c>
      <c r="H150" s="54">
        <v>7.2314007415168335</v>
      </c>
      <c r="I150" s="47" t="s">
        <v>39</v>
      </c>
      <c r="J150" s="39" t="str">
        <f t="shared" si="2"/>
        <v>070870DC - CARLA</v>
      </c>
      <c r="K150" s="47">
        <f t="shared" si="3"/>
        <v>13.45025</v>
      </c>
      <c r="L150" s="48">
        <v>7.37</v>
      </c>
      <c r="M150" s="49">
        <f t="shared" si="4"/>
        <v>13.45025</v>
      </c>
      <c r="N150" s="39" t="s">
        <v>40</v>
      </c>
      <c r="O150" s="39" t="s">
        <v>41</v>
      </c>
      <c r="P150" s="39" t="s">
        <v>229</v>
      </c>
      <c r="Q150" s="47" t="str">
        <f t="shared" si="5"/>
        <v>13*18</v>
      </c>
      <c r="R150" s="50">
        <v>1.0</v>
      </c>
      <c r="S150" s="51">
        <v>1.0</v>
      </c>
      <c r="T150" s="51">
        <v>1.0</v>
      </c>
      <c r="U150" s="51">
        <v>1.0</v>
      </c>
      <c r="V150" s="47" t="s">
        <v>230</v>
      </c>
      <c r="W150" s="47" t="str">
        <f t="shared" si="6"/>
        <v>CHENE - 13*18 - REHAUSSE 10mm - (Largeur 15mm Profondeur 30mm)</v>
      </c>
      <c r="X150" s="50">
        <v>0.0</v>
      </c>
      <c r="Y150" s="52" t="s">
        <v>44</v>
      </c>
      <c r="Z150" s="47" t="str">
        <f t="shared" si="7"/>
        <v>CARLA CHENE+ REHAUSSE 13 13*18 VERRE</v>
      </c>
      <c r="AA150" s="39" t="s">
        <v>45</v>
      </c>
      <c r="AB150" s="39" t="s">
        <v>49</v>
      </c>
      <c r="AC150" s="47" t="str">
        <f t="shared" si="8"/>
        <v>CARLA CHENE+ REHAUSSE 13 13*18 VERRE</v>
      </c>
      <c r="AD150" s="39" t="s">
        <v>47</v>
      </c>
      <c r="AE150" s="39" t="str">
        <f t="shared" si="9"/>
        <v>EVA  13*18 CHENE VERRE REHAUSSE 10mm - CADRES GALERIE - Pas de passepartout - DOS AVEC CHEVALET (Largeur 15mm Profondeur 30mm)</v>
      </c>
      <c r="AF150" s="39" t="str">
        <f t="shared" si="1"/>
        <v>EVA  13*18 CHENE VERRE REHAUSSE 10mm - CADRES GALERIE - Pas de passepartout - DOS AVEC CHEVALET (Largeur 15mm Profondeur 30mm)</v>
      </c>
      <c r="AG150" s="53">
        <f t="shared" si="10"/>
        <v>13.01652133</v>
      </c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100.0</v>
      </c>
      <c r="B151" s="40" t="s">
        <v>227</v>
      </c>
      <c r="C151" s="41" t="s">
        <v>55</v>
      </c>
      <c r="D151" s="42" t="s">
        <v>235</v>
      </c>
      <c r="E151" s="43">
        <v>345707.0</v>
      </c>
      <c r="F151" s="44" t="s">
        <v>235</v>
      </c>
      <c r="G151" s="45">
        <v>0.0</v>
      </c>
      <c r="H151" s="54">
        <v>6.3046739347774015</v>
      </c>
      <c r="I151" s="47" t="s">
        <v>39</v>
      </c>
      <c r="J151" s="39" t="str">
        <f t="shared" si="2"/>
        <v>070872 - CARLA</v>
      </c>
      <c r="K151" s="47">
        <f t="shared" si="3"/>
        <v>11.7165</v>
      </c>
      <c r="L151" s="48">
        <v>6.42</v>
      </c>
      <c r="M151" s="49">
        <f t="shared" si="4"/>
        <v>11.7165</v>
      </c>
      <c r="N151" s="39" t="s">
        <v>40</v>
      </c>
      <c r="O151" s="39" t="s">
        <v>41</v>
      </c>
      <c r="P151" s="39" t="s">
        <v>229</v>
      </c>
      <c r="Q151" s="47" t="str">
        <f t="shared" si="5"/>
        <v>14*14</v>
      </c>
      <c r="R151" s="50">
        <v>1.0</v>
      </c>
      <c r="S151" s="51">
        <v>1.0</v>
      </c>
      <c r="T151" s="51">
        <v>0.0</v>
      </c>
      <c r="U151" s="51">
        <v>0.0</v>
      </c>
      <c r="V151" s="47" t="s">
        <v>230</v>
      </c>
      <c r="W151" s="47" t="str">
        <f t="shared" si="6"/>
        <v>CHENE - 14*14 - REHAUSSE 10mm - (Largeur 15mm Profondeur 30mm)</v>
      </c>
      <c r="X151" s="50">
        <v>0.0</v>
      </c>
      <c r="Y151" s="52" t="s">
        <v>44</v>
      </c>
      <c r="Z151" s="47" t="str">
        <f t="shared" si="7"/>
        <v>CARLA CHENE+ REHAUSSE 13 14*14 VERRE</v>
      </c>
      <c r="AA151" s="39" t="s">
        <v>45</v>
      </c>
      <c r="AB151" s="39" t="s">
        <v>46</v>
      </c>
      <c r="AC151" s="47" t="str">
        <f t="shared" si="8"/>
        <v>CARLA CHENE+ REHAUSSE 13 14*14 VERRE</v>
      </c>
      <c r="AD151" s="39" t="s">
        <v>47</v>
      </c>
      <c r="AE151" s="39" t="str">
        <f t="shared" si="9"/>
        <v>EVA  14*14 CHENE VERRE REHAUSSE 10mm - CADRES GALERIE - Pas de passepartout - Dos classique sans chevalet (Largeur 15mm Profondeur 30mm)</v>
      </c>
      <c r="AF151" s="39" t="str">
        <f t="shared" si="1"/>
        <v>EVA  14*14 CHENE VERRE REHAUSSE 10mm - CADRES GALERIE - Pas de passepartout - Dos classique sans chevalet (Largeur 15mm Profondeur 30mm)</v>
      </c>
      <c r="AG151" s="53">
        <f t="shared" si="10"/>
        <v>11.34841308</v>
      </c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101.0</v>
      </c>
      <c r="B152" s="40" t="s">
        <v>227</v>
      </c>
      <c r="C152" s="41" t="s">
        <v>57</v>
      </c>
      <c r="D152" s="42" t="s">
        <v>236</v>
      </c>
      <c r="E152" s="43">
        <v>345707.0</v>
      </c>
      <c r="F152" s="44" t="s">
        <v>236</v>
      </c>
      <c r="G152" s="45">
        <v>4.0</v>
      </c>
      <c r="H152" s="54">
        <v>8.27225</v>
      </c>
      <c r="I152" s="47" t="s">
        <v>39</v>
      </c>
      <c r="J152" s="39" t="str">
        <f t="shared" si="2"/>
        <v>054203 - CARLA</v>
      </c>
      <c r="K152" s="47">
        <f t="shared" si="3"/>
        <v>15.38475</v>
      </c>
      <c r="L152" s="48">
        <v>8.43</v>
      </c>
      <c r="M152" s="49">
        <f t="shared" si="4"/>
        <v>15.38475</v>
      </c>
      <c r="N152" s="39" t="s">
        <v>40</v>
      </c>
      <c r="O152" s="39" t="s">
        <v>41</v>
      </c>
      <c r="P152" s="39" t="s">
        <v>229</v>
      </c>
      <c r="Q152" s="47" t="str">
        <f t="shared" si="5"/>
        <v>15*20</v>
      </c>
      <c r="R152" s="50">
        <v>1.0</v>
      </c>
      <c r="S152" s="51">
        <v>1.0</v>
      </c>
      <c r="T152" s="51">
        <v>0.0</v>
      </c>
      <c r="U152" s="51">
        <v>0.0</v>
      </c>
      <c r="V152" s="47" t="s">
        <v>230</v>
      </c>
      <c r="W152" s="47" t="str">
        <f t="shared" si="6"/>
        <v>CHENE - 15*20 - REHAUSSE 10mm - (Largeur 15mm Profondeur 30mm)</v>
      </c>
      <c r="X152" s="50">
        <v>0.0</v>
      </c>
      <c r="Y152" s="52" t="s">
        <v>44</v>
      </c>
      <c r="Z152" s="47" t="str">
        <f t="shared" si="7"/>
        <v>CARLA CHENE+ REHAUSSE 13 15*20 VERRE</v>
      </c>
      <c r="AA152" s="39" t="s">
        <v>45</v>
      </c>
      <c r="AB152" s="39" t="s">
        <v>46</v>
      </c>
      <c r="AC152" s="47" t="str">
        <f t="shared" si="8"/>
        <v>CARLA CHENE+ REHAUSSE 13 15*20 VERRE</v>
      </c>
      <c r="AD152" s="39" t="s">
        <v>47</v>
      </c>
      <c r="AE152" s="39" t="str">
        <f t="shared" si="9"/>
        <v>EVA  15*20 CHENE VERRE REHAUSSE 10mm - CADRES GALERIE - Pas de passepartout - Dos classique sans chevalet (Largeur 15mm Profondeur 30mm)</v>
      </c>
      <c r="AF152" s="39" t="str">
        <f t="shared" si="1"/>
        <v>EVA  15*20 CHENE VERRE REHAUSSE 10mm - CADRES GALERIE - Pas de passepartout - Dos classique sans chevalet (Largeur 15mm Profondeur 30mm)</v>
      </c>
      <c r="AG152" s="53">
        <f t="shared" si="10"/>
        <v>14.89005</v>
      </c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102.0</v>
      </c>
      <c r="B153" s="40" t="s">
        <v>227</v>
      </c>
      <c r="C153" s="41" t="s">
        <v>59</v>
      </c>
      <c r="D153" s="42" t="s">
        <v>237</v>
      </c>
      <c r="E153" s="43">
        <v>345707.0</v>
      </c>
      <c r="F153" s="44" t="s">
        <v>237</v>
      </c>
      <c r="G153" s="45">
        <v>7.0</v>
      </c>
      <c r="H153" s="54">
        <v>8.273764812366103</v>
      </c>
      <c r="I153" s="47" t="s">
        <v>39</v>
      </c>
      <c r="J153" s="39" t="str">
        <f t="shared" si="2"/>
        <v>070873 - CARLA</v>
      </c>
      <c r="K153" s="47">
        <f t="shared" si="3"/>
        <v>15.38475</v>
      </c>
      <c r="L153" s="48">
        <v>8.43</v>
      </c>
      <c r="M153" s="49">
        <f t="shared" si="4"/>
        <v>15.38475</v>
      </c>
      <c r="N153" s="39" t="s">
        <v>40</v>
      </c>
      <c r="O153" s="39" t="s">
        <v>41</v>
      </c>
      <c r="P153" s="39" t="s">
        <v>229</v>
      </c>
      <c r="Q153" s="47" t="str">
        <f t="shared" si="5"/>
        <v>15*21</v>
      </c>
      <c r="R153" s="50">
        <v>1.0</v>
      </c>
      <c r="S153" s="51">
        <v>1.0</v>
      </c>
      <c r="T153" s="51">
        <v>1.0</v>
      </c>
      <c r="U153" s="51">
        <v>0.0</v>
      </c>
      <c r="V153" s="47" t="s">
        <v>230</v>
      </c>
      <c r="W153" s="47" t="str">
        <f t="shared" si="6"/>
        <v>CHENE - 15*21 - REHAUSSE 10mm - (Largeur 15mm Profondeur 30mm)</v>
      </c>
      <c r="X153" s="50">
        <v>0.0</v>
      </c>
      <c r="Y153" s="52" t="s">
        <v>44</v>
      </c>
      <c r="Z153" s="47" t="str">
        <f t="shared" si="7"/>
        <v>CARLA CHENE+ REHAUSSE 13 15*21 VERRE</v>
      </c>
      <c r="AA153" s="39" t="s">
        <v>45</v>
      </c>
      <c r="AB153" s="39" t="s">
        <v>46</v>
      </c>
      <c r="AC153" s="47" t="str">
        <f t="shared" si="8"/>
        <v>CARLA CHENE+ REHAUSSE 13 15*21 VERRE</v>
      </c>
      <c r="AD153" s="39" t="s">
        <v>47</v>
      </c>
      <c r="AE153" s="39" t="str">
        <f t="shared" si="9"/>
        <v>EVA  15*21 CHENE VERRE REHAUSSE 10mm - CADRES GALERIE - Pas de passepartout - Dos classique sans chevalet (Largeur 15mm Profondeur 30mm)</v>
      </c>
      <c r="AF153" s="39" t="str">
        <f t="shared" si="1"/>
        <v>EVA  15*21 CHENE VERRE REHAUSSE 10mm - CADRES GALERIE - Pas de passepartout - Dos classique sans chevalet (Largeur 15mm Profondeur 30mm)</v>
      </c>
      <c r="AG153" s="53">
        <f t="shared" si="10"/>
        <v>14.89277666</v>
      </c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5.75" customHeight="1">
      <c r="A154" s="39">
        <v>102.0</v>
      </c>
      <c r="B154" s="40" t="s">
        <v>227</v>
      </c>
      <c r="C154" s="41" t="s">
        <v>59</v>
      </c>
      <c r="D154" s="42" t="s">
        <v>238</v>
      </c>
      <c r="E154" s="43">
        <v>345707.0</v>
      </c>
      <c r="F154" s="44" t="s">
        <v>237</v>
      </c>
      <c r="G154" s="45">
        <v>7.0</v>
      </c>
      <c r="H154" s="54">
        <v>8.273764812366103</v>
      </c>
      <c r="I154" s="47" t="s">
        <v>39</v>
      </c>
      <c r="J154" s="39" t="str">
        <f t="shared" si="2"/>
        <v>070873DC - CARLA</v>
      </c>
      <c r="K154" s="47">
        <f t="shared" si="3"/>
        <v>15.38475</v>
      </c>
      <c r="L154" s="48">
        <v>8.43</v>
      </c>
      <c r="M154" s="49">
        <f t="shared" si="4"/>
        <v>15.38475</v>
      </c>
      <c r="N154" s="39" t="s">
        <v>40</v>
      </c>
      <c r="O154" s="39" t="s">
        <v>41</v>
      </c>
      <c r="P154" s="39" t="s">
        <v>229</v>
      </c>
      <c r="Q154" s="47" t="str">
        <f t="shared" si="5"/>
        <v>15*21</v>
      </c>
      <c r="R154" s="50">
        <v>1.0</v>
      </c>
      <c r="S154" s="51">
        <v>1.0</v>
      </c>
      <c r="T154" s="51">
        <v>1.0</v>
      </c>
      <c r="U154" s="51">
        <v>1.0</v>
      </c>
      <c r="V154" s="47" t="s">
        <v>230</v>
      </c>
      <c r="W154" s="47" t="str">
        <f t="shared" si="6"/>
        <v>CHENE - 15*21 - REHAUSSE 10mm - (Largeur 15mm Profondeur 30mm)</v>
      </c>
      <c r="X154" s="50">
        <v>0.0</v>
      </c>
      <c r="Y154" s="52" t="s">
        <v>44</v>
      </c>
      <c r="Z154" s="47" t="str">
        <f t="shared" si="7"/>
        <v>CARLA CHENE+ REHAUSSE 13 15*21 VERRE</v>
      </c>
      <c r="AA154" s="39" t="s">
        <v>45</v>
      </c>
      <c r="AB154" s="39" t="s">
        <v>49</v>
      </c>
      <c r="AC154" s="47" t="str">
        <f t="shared" si="8"/>
        <v>CARLA CHENE+ REHAUSSE 13 15*21 VERRE</v>
      </c>
      <c r="AD154" s="39" t="s">
        <v>47</v>
      </c>
      <c r="AE154" s="39" t="str">
        <f t="shared" si="9"/>
        <v>EVA  15*21 CHENE VERRE REHAUSSE 10mm - CADRES GALERIE - Pas de passepartout - DOS AVEC CHEVALET (Largeur 15mm Profondeur 30mm)</v>
      </c>
      <c r="AF154" s="39" t="str">
        <f t="shared" si="1"/>
        <v>EVA  15*21 CHENE VERRE REHAUSSE 10mm - CADRES GALERIE - Pas de passepartout - DOS AVEC CHEVALET (Largeur 15mm Profondeur 30mm)</v>
      </c>
      <c r="AG154" s="53">
        <f t="shared" si="10"/>
        <v>14.89277666</v>
      </c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5.75" customHeight="1">
      <c r="A155" s="39">
        <v>103.0</v>
      </c>
      <c r="B155" s="40" t="s">
        <v>227</v>
      </c>
      <c r="C155" s="41" t="s">
        <v>62</v>
      </c>
      <c r="D155" s="42" t="s">
        <v>239</v>
      </c>
      <c r="E155" s="43">
        <v>345707.0</v>
      </c>
      <c r="F155" s="44" t="s">
        <v>239</v>
      </c>
      <c r="G155" s="45">
        <v>4.0</v>
      </c>
      <c r="H155" s="54">
        <v>9.46759741226066</v>
      </c>
      <c r="I155" s="47" t="s">
        <v>39</v>
      </c>
      <c r="J155" s="39" t="str">
        <f t="shared" si="2"/>
        <v>070874 - CARLA</v>
      </c>
      <c r="K155" s="47">
        <f t="shared" si="3"/>
        <v>17.61125</v>
      </c>
      <c r="L155" s="48">
        <v>9.65</v>
      </c>
      <c r="M155" s="49">
        <f t="shared" si="4"/>
        <v>17.61125</v>
      </c>
      <c r="N155" s="39" t="s">
        <v>40</v>
      </c>
      <c r="O155" s="39" t="s">
        <v>41</v>
      </c>
      <c r="P155" s="39" t="s">
        <v>229</v>
      </c>
      <c r="Q155" s="47" t="str">
        <f t="shared" si="5"/>
        <v>18*24</v>
      </c>
      <c r="R155" s="50">
        <v>1.0</v>
      </c>
      <c r="S155" s="51">
        <v>1.0</v>
      </c>
      <c r="T155" s="51">
        <v>1.0</v>
      </c>
      <c r="U155" s="51">
        <v>0.0</v>
      </c>
      <c r="V155" s="47" t="s">
        <v>230</v>
      </c>
      <c r="W155" s="47" t="str">
        <f t="shared" si="6"/>
        <v>CHENE - 18*24 - REHAUSSE 10mm - (Largeur 15mm Profondeur 30mm)</v>
      </c>
      <c r="X155" s="50">
        <v>0.0</v>
      </c>
      <c r="Y155" s="52" t="s">
        <v>44</v>
      </c>
      <c r="Z155" s="47" t="str">
        <f t="shared" si="7"/>
        <v>CARLA CHENE+ REHAUSSE 13 18*24 VERRE</v>
      </c>
      <c r="AA155" s="39" t="s">
        <v>45</v>
      </c>
      <c r="AB155" s="39" t="s">
        <v>46</v>
      </c>
      <c r="AC155" s="47" t="str">
        <f t="shared" si="8"/>
        <v>CARLA CHENE+ REHAUSSE 13 18*24 VERRE</v>
      </c>
      <c r="AD155" s="39" t="s">
        <v>47</v>
      </c>
      <c r="AE155" s="39" t="str">
        <f t="shared" si="9"/>
        <v>EVA  18*24 CHENE VERRE REHAUSSE 10mm - CADRES GALERIE - Pas de passepartout - Dos classique sans chevalet (Largeur 15mm Profondeur 30mm)</v>
      </c>
      <c r="AF155" s="39" t="str">
        <f t="shared" si="1"/>
        <v>EVA  18*24 CHENE VERRE REHAUSSE 10mm - CADRES GALERIE - Pas de passepartout - Dos classique sans chevalet (Largeur 15mm Profondeur 30mm)</v>
      </c>
      <c r="AG155" s="53">
        <f t="shared" si="10"/>
        <v>17.04167534</v>
      </c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5.75" customHeight="1">
      <c r="A156" s="39">
        <v>103.0</v>
      </c>
      <c r="B156" s="40" t="s">
        <v>227</v>
      </c>
      <c r="C156" s="41" t="s">
        <v>62</v>
      </c>
      <c r="D156" s="42" t="s">
        <v>240</v>
      </c>
      <c r="E156" s="43">
        <v>345707.0</v>
      </c>
      <c r="F156" s="44" t="s">
        <v>239</v>
      </c>
      <c r="G156" s="45">
        <v>4.0</v>
      </c>
      <c r="H156" s="54">
        <v>9.46759741226066</v>
      </c>
      <c r="I156" s="47" t="s">
        <v>39</v>
      </c>
      <c r="J156" s="39" t="str">
        <f t="shared" si="2"/>
        <v>070874DC - CARLA</v>
      </c>
      <c r="K156" s="47">
        <f t="shared" si="3"/>
        <v>17.61125</v>
      </c>
      <c r="L156" s="48">
        <v>9.65</v>
      </c>
      <c r="M156" s="49">
        <f t="shared" si="4"/>
        <v>17.61125</v>
      </c>
      <c r="N156" s="39" t="s">
        <v>40</v>
      </c>
      <c r="O156" s="39" t="s">
        <v>41</v>
      </c>
      <c r="P156" s="39" t="s">
        <v>229</v>
      </c>
      <c r="Q156" s="47" t="str">
        <f t="shared" si="5"/>
        <v>18*24</v>
      </c>
      <c r="R156" s="50">
        <v>1.0</v>
      </c>
      <c r="S156" s="51">
        <v>1.0</v>
      </c>
      <c r="T156" s="51">
        <v>1.0</v>
      </c>
      <c r="U156" s="51">
        <v>1.0</v>
      </c>
      <c r="V156" s="47" t="s">
        <v>230</v>
      </c>
      <c r="W156" s="47" t="str">
        <f t="shared" si="6"/>
        <v>CHENE - 18*24 - REHAUSSE 10mm - (Largeur 15mm Profondeur 30mm)</v>
      </c>
      <c r="X156" s="50">
        <v>0.0</v>
      </c>
      <c r="Y156" s="52" t="s">
        <v>44</v>
      </c>
      <c r="Z156" s="47" t="str">
        <f t="shared" si="7"/>
        <v>CARLA CHENE+ REHAUSSE 13 18*24 VERRE</v>
      </c>
      <c r="AA156" s="39" t="s">
        <v>45</v>
      </c>
      <c r="AB156" s="39" t="s">
        <v>49</v>
      </c>
      <c r="AC156" s="47" t="str">
        <f t="shared" si="8"/>
        <v>CARLA CHENE+ REHAUSSE 13 18*24 VERRE</v>
      </c>
      <c r="AD156" s="39" t="s">
        <v>47</v>
      </c>
      <c r="AE156" s="39" t="str">
        <f t="shared" si="9"/>
        <v>EVA  18*24 CHENE VERRE REHAUSSE 10mm - CADRES GALERIE - Pas de passepartout - DOS AVEC CHEVALET (Largeur 15mm Profondeur 30mm)</v>
      </c>
      <c r="AF156" s="39" t="str">
        <f t="shared" si="1"/>
        <v>EVA  18*24 CHENE VERRE REHAUSSE 10mm - CADRES GALERIE - Pas de passepartout - DOS AVEC CHEVALET (Largeur 15mm Profondeur 30mm)</v>
      </c>
      <c r="AG156" s="53">
        <f t="shared" si="10"/>
        <v>17.04167534</v>
      </c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5.75" customHeight="1">
      <c r="A157" s="39">
        <v>104.0</v>
      </c>
      <c r="B157" s="40" t="s">
        <v>227</v>
      </c>
      <c r="C157" s="41" t="s">
        <v>65</v>
      </c>
      <c r="D157" s="42" t="s">
        <v>241</v>
      </c>
      <c r="E157" s="43">
        <v>345707.0</v>
      </c>
      <c r="F157" s="44" t="s">
        <v>241</v>
      </c>
      <c r="G157" s="45">
        <v>1.0</v>
      </c>
      <c r="H157" s="54">
        <v>10.902476703539117</v>
      </c>
      <c r="I157" s="47" t="s">
        <v>39</v>
      </c>
      <c r="J157" s="39" t="str">
        <f t="shared" si="2"/>
        <v>070875 - CARLA</v>
      </c>
      <c r="K157" s="47">
        <f t="shared" si="3"/>
        <v>20.27575</v>
      </c>
      <c r="L157" s="48">
        <v>11.11</v>
      </c>
      <c r="M157" s="49">
        <f t="shared" si="4"/>
        <v>20.27575</v>
      </c>
      <c r="N157" s="39" t="s">
        <v>40</v>
      </c>
      <c r="O157" s="39" t="s">
        <v>41</v>
      </c>
      <c r="P157" s="39" t="s">
        <v>229</v>
      </c>
      <c r="Q157" s="47" t="str">
        <f t="shared" si="5"/>
        <v>18*35</v>
      </c>
      <c r="R157" s="50">
        <v>1.0</v>
      </c>
      <c r="S157" s="51">
        <v>1.0</v>
      </c>
      <c r="T157" s="51">
        <v>0.0</v>
      </c>
      <c r="U157" s="51">
        <v>0.0</v>
      </c>
      <c r="V157" s="47" t="s">
        <v>230</v>
      </c>
      <c r="W157" s="47" t="str">
        <f t="shared" si="6"/>
        <v>CHENE - 18*35 - REHAUSSE 10mm - (Largeur 15mm Profondeur 30mm)</v>
      </c>
      <c r="X157" s="50">
        <v>0.0</v>
      </c>
      <c r="Y157" s="52" t="s">
        <v>44</v>
      </c>
      <c r="Z157" s="47" t="str">
        <f t="shared" si="7"/>
        <v>CARLA CHENE+ REHAUSSE 13 18*35 VERRE</v>
      </c>
      <c r="AA157" s="39" t="s">
        <v>45</v>
      </c>
      <c r="AB157" s="39" t="s">
        <v>46</v>
      </c>
      <c r="AC157" s="47" t="str">
        <f t="shared" si="8"/>
        <v>CARLA CHENE+ REHAUSSE 13 18*35 VERRE</v>
      </c>
      <c r="AD157" s="39" t="s">
        <v>47</v>
      </c>
      <c r="AE157" s="39" t="str">
        <f t="shared" si="9"/>
        <v>EVA  18*35 CHENE VERRE REHAUSSE 10mm - CADRES GALERIE - Pas de passepartout - Dos classique sans chevalet (Largeur 15mm Profondeur 30mm)</v>
      </c>
      <c r="AF157" s="39" t="str">
        <f t="shared" si="1"/>
        <v>EVA  18*35 CHENE VERRE REHAUSSE 10mm - CADRES GALERIE - Pas de passepartout - Dos classique sans chevalet (Largeur 15mm Profondeur 30mm)</v>
      </c>
      <c r="AG157" s="53">
        <f t="shared" si="10"/>
        <v>19.62445807</v>
      </c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5.75" customHeight="1">
      <c r="A158" s="39">
        <v>105.0</v>
      </c>
      <c r="B158" s="40" t="s">
        <v>227</v>
      </c>
      <c r="C158" s="41" t="s">
        <v>67</v>
      </c>
      <c r="D158" s="42" t="s">
        <v>242</v>
      </c>
      <c r="E158" s="43">
        <v>345707.0</v>
      </c>
      <c r="F158" s="44" t="s">
        <v>242</v>
      </c>
      <c r="G158" s="45">
        <v>8.0</v>
      </c>
      <c r="H158" s="54">
        <v>8.506668034446491</v>
      </c>
      <c r="I158" s="47" t="s">
        <v>39</v>
      </c>
      <c r="J158" s="39" t="str">
        <f t="shared" si="2"/>
        <v>070876 - CARLA</v>
      </c>
      <c r="K158" s="47">
        <f t="shared" si="3"/>
        <v>15.82275</v>
      </c>
      <c r="L158" s="48">
        <v>8.67</v>
      </c>
      <c r="M158" s="49">
        <f t="shared" si="4"/>
        <v>15.82275</v>
      </c>
      <c r="N158" s="39" t="s">
        <v>40</v>
      </c>
      <c r="O158" s="39" t="s">
        <v>41</v>
      </c>
      <c r="P158" s="39" t="s">
        <v>229</v>
      </c>
      <c r="Q158" s="47" t="str">
        <f t="shared" si="5"/>
        <v>20*20</v>
      </c>
      <c r="R158" s="50">
        <v>1.0</v>
      </c>
      <c r="S158" s="51">
        <v>1.0</v>
      </c>
      <c r="T158" s="51">
        <v>0.0</v>
      </c>
      <c r="U158" s="51">
        <v>0.0</v>
      </c>
      <c r="V158" s="47" t="s">
        <v>230</v>
      </c>
      <c r="W158" s="47" t="str">
        <f t="shared" si="6"/>
        <v>CHENE - 20*20 - REHAUSSE 10mm - (Largeur 15mm Profondeur 30mm)</v>
      </c>
      <c r="X158" s="50">
        <v>0.0</v>
      </c>
      <c r="Y158" s="52" t="s">
        <v>44</v>
      </c>
      <c r="Z158" s="47" t="str">
        <f t="shared" si="7"/>
        <v>CARLA CHENE+ REHAUSSE 13 20*20 VERRE</v>
      </c>
      <c r="AA158" s="39" t="s">
        <v>45</v>
      </c>
      <c r="AB158" s="39" t="s">
        <v>46</v>
      </c>
      <c r="AC158" s="47" t="str">
        <f t="shared" si="8"/>
        <v>CARLA CHENE+ REHAUSSE 13 20*20 VERRE</v>
      </c>
      <c r="AD158" s="39" t="s">
        <v>47</v>
      </c>
      <c r="AE158" s="39" t="str">
        <f t="shared" si="9"/>
        <v>EVA  20*20 CHENE VERRE REHAUSSE 10mm - CADRES GALERIE - Pas de passepartout - Dos classique sans chevalet (Largeur 15mm Profondeur 30mm)</v>
      </c>
      <c r="AF158" s="39" t="str">
        <f t="shared" si="1"/>
        <v>EVA  20*20 CHENE VERRE REHAUSSE 10mm - CADRES GALERIE - Pas de passepartout - Dos classique sans chevalet (Largeur 15mm Profondeur 30mm)</v>
      </c>
      <c r="AG158" s="53">
        <f t="shared" si="10"/>
        <v>15.31200246</v>
      </c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5.75" customHeight="1">
      <c r="A159" s="39">
        <v>106.0</v>
      </c>
      <c r="B159" s="40" t="s">
        <v>227</v>
      </c>
      <c r="C159" s="41" t="s">
        <v>69</v>
      </c>
      <c r="D159" s="42" t="s">
        <v>243</v>
      </c>
      <c r="E159" s="43">
        <v>345707.0</v>
      </c>
      <c r="F159" s="44" t="s">
        <v>243</v>
      </c>
      <c r="G159" s="45">
        <v>5.0</v>
      </c>
      <c r="H159" s="54">
        <v>11.112578211569675</v>
      </c>
      <c r="I159" s="47" t="s">
        <v>39</v>
      </c>
      <c r="J159" s="39" t="str">
        <f t="shared" si="2"/>
        <v>070877 - CARLA</v>
      </c>
      <c r="K159" s="47">
        <f t="shared" si="3"/>
        <v>20.659</v>
      </c>
      <c r="L159" s="48">
        <v>11.32</v>
      </c>
      <c r="M159" s="49">
        <f t="shared" si="4"/>
        <v>20.659</v>
      </c>
      <c r="N159" s="39" t="s">
        <v>40</v>
      </c>
      <c r="O159" s="39" t="s">
        <v>41</v>
      </c>
      <c r="P159" s="39" t="s">
        <v>229</v>
      </c>
      <c r="Q159" s="47" t="str">
        <f t="shared" si="5"/>
        <v>20*30</v>
      </c>
      <c r="R159" s="50">
        <v>1.0</v>
      </c>
      <c r="S159" s="51">
        <v>1.0</v>
      </c>
      <c r="T159" s="51">
        <v>1.0</v>
      </c>
      <c r="U159" s="51">
        <v>0.0</v>
      </c>
      <c r="V159" s="47" t="s">
        <v>230</v>
      </c>
      <c r="W159" s="47" t="str">
        <f t="shared" si="6"/>
        <v>CHENE - 20*30 - REHAUSSE 10mm - (Largeur 15mm Profondeur 30mm)</v>
      </c>
      <c r="X159" s="50">
        <v>0.0</v>
      </c>
      <c r="Y159" s="52" t="s">
        <v>44</v>
      </c>
      <c r="Z159" s="47" t="str">
        <f t="shared" si="7"/>
        <v>CARLA CHENE+ REHAUSSE 13 20*30 VERRE</v>
      </c>
      <c r="AA159" s="39" t="s">
        <v>45</v>
      </c>
      <c r="AB159" s="39" t="s">
        <v>46</v>
      </c>
      <c r="AC159" s="47" t="str">
        <f t="shared" si="8"/>
        <v>CARLA CHENE+ REHAUSSE 13 20*30 VERRE</v>
      </c>
      <c r="AD159" s="39" t="s">
        <v>47</v>
      </c>
      <c r="AE159" s="39" t="str">
        <f t="shared" si="9"/>
        <v>EVA  20*30 CHENE VERRE REHAUSSE 10mm - CADRES GALERIE - Pas de passepartout - Dos classique sans chevalet (Largeur 15mm Profondeur 30mm)</v>
      </c>
      <c r="AF159" s="39" t="str">
        <f t="shared" si="1"/>
        <v>EVA  20*30 CHENE VERRE REHAUSSE 10mm - CADRES GALERIE - Pas de passepartout - Dos classique sans chevalet (Largeur 15mm Profondeur 30mm)</v>
      </c>
      <c r="AG159" s="53">
        <f t="shared" si="10"/>
        <v>20.00264078</v>
      </c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5.75" customHeight="1">
      <c r="A160" s="39">
        <v>106.0</v>
      </c>
      <c r="B160" s="40" t="s">
        <v>227</v>
      </c>
      <c r="C160" s="41" t="s">
        <v>69</v>
      </c>
      <c r="D160" s="42" t="s">
        <v>244</v>
      </c>
      <c r="E160" s="43">
        <v>345707.0</v>
      </c>
      <c r="F160" s="44" t="s">
        <v>243</v>
      </c>
      <c r="G160" s="45">
        <v>5.0</v>
      </c>
      <c r="H160" s="54">
        <v>11.112578211569675</v>
      </c>
      <c r="I160" s="47" t="s">
        <v>39</v>
      </c>
      <c r="J160" s="39" t="str">
        <f t="shared" si="2"/>
        <v>070877DC - CARLA</v>
      </c>
      <c r="K160" s="47">
        <f t="shared" si="3"/>
        <v>20.659</v>
      </c>
      <c r="L160" s="48">
        <v>11.32</v>
      </c>
      <c r="M160" s="49">
        <f t="shared" si="4"/>
        <v>20.659</v>
      </c>
      <c r="N160" s="39" t="s">
        <v>40</v>
      </c>
      <c r="O160" s="39" t="s">
        <v>41</v>
      </c>
      <c r="P160" s="39" t="s">
        <v>229</v>
      </c>
      <c r="Q160" s="47" t="str">
        <f t="shared" si="5"/>
        <v>20*30</v>
      </c>
      <c r="R160" s="50">
        <v>1.0</v>
      </c>
      <c r="S160" s="51">
        <v>1.0</v>
      </c>
      <c r="T160" s="51">
        <v>1.0</v>
      </c>
      <c r="U160" s="51">
        <v>1.0</v>
      </c>
      <c r="V160" s="47" t="s">
        <v>230</v>
      </c>
      <c r="W160" s="47" t="str">
        <f t="shared" si="6"/>
        <v>CHENE - 20*30 - REHAUSSE 10mm - (Largeur 15mm Profondeur 30mm)</v>
      </c>
      <c r="X160" s="50">
        <v>0.0</v>
      </c>
      <c r="Y160" s="52" t="s">
        <v>44</v>
      </c>
      <c r="Z160" s="47" t="str">
        <f t="shared" si="7"/>
        <v>CARLA CHENE+ REHAUSSE 13 20*30 VERRE</v>
      </c>
      <c r="AA160" s="39" t="s">
        <v>45</v>
      </c>
      <c r="AB160" s="39" t="s">
        <v>49</v>
      </c>
      <c r="AC160" s="47" t="str">
        <f t="shared" si="8"/>
        <v>CARLA CHENE+ REHAUSSE 13 20*30 VERRE</v>
      </c>
      <c r="AD160" s="39" t="s">
        <v>47</v>
      </c>
      <c r="AE160" s="39" t="str">
        <f t="shared" si="9"/>
        <v>EVA  20*30 CHENE VERRE REHAUSSE 10mm - CADRES GALERIE - Pas de passepartout - DOS AVEC CHEVALET (Largeur 15mm Profondeur 30mm)</v>
      </c>
      <c r="AF160" s="39" t="str">
        <f t="shared" si="1"/>
        <v>EVA  20*30 CHENE VERRE REHAUSSE 10mm - CADRES GALERIE - Pas de passepartout - DOS AVEC CHEVALET (Largeur 15mm Profondeur 30mm)</v>
      </c>
      <c r="AG160" s="53">
        <f t="shared" si="10"/>
        <v>20.00264078</v>
      </c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5.75" customHeight="1">
      <c r="A161" s="39">
        <v>107.0</v>
      </c>
      <c r="B161" s="40" t="s">
        <v>227</v>
      </c>
      <c r="C161" s="41" t="s">
        <v>72</v>
      </c>
      <c r="D161" s="42" t="s">
        <v>245</v>
      </c>
      <c r="E161" s="43">
        <v>345707.0</v>
      </c>
      <c r="F161" s="44" t="s">
        <v>245</v>
      </c>
      <c r="G161" s="45">
        <v>2.0</v>
      </c>
      <c r="H161" s="54">
        <v>14.125661853868356</v>
      </c>
      <c r="I161" s="47" t="s">
        <v>39</v>
      </c>
      <c r="J161" s="39" t="str">
        <f t="shared" si="2"/>
        <v>070878 - CARLA</v>
      </c>
      <c r="K161" s="47">
        <f t="shared" si="3"/>
        <v>26.26175</v>
      </c>
      <c r="L161" s="48">
        <v>14.39</v>
      </c>
      <c r="M161" s="49">
        <f t="shared" si="4"/>
        <v>26.26175</v>
      </c>
      <c r="N161" s="39" t="s">
        <v>40</v>
      </c>
      <c r="O161" s="39" t="s">
        <v>41</v>
      </c>
      <c r="P161" s="39" t="s">
        <v>229</v>
      </c>
      <c r="Q161" s="47" t="str">
        <f t="shared" si="5"/>
        <v>20*50</v>
      </c>
      <c r="R161" s="50">
        <v>1.0</v>
      </c>
      <c r="S161" s="51">
        <v>1.0</v>
      </c>
      <c r="T161" s="51">
        <v>0.0</v>
      </c>
      <c r="U161" s="51">
        <v>0.0</v>
      </c>
      <c r="V161" s="47" t="s">
        <v>230</v>
      </c>
      <c r="W161" s="47" t="str">
        <f t="shared" si="6"/>
        <v>CHENE - 20*50 - REHAUSSE 10mm - (Largeur 15mm Profondeur 30mm)</v>
      </c>
      <c r="X161" s="50">
        <v>0.0</v>
      </c>
      <c r="Y161" s="52" t="s">
        <v>44</v>
      </c>
      <c r="Z161" s="47" t="str">
        <f t="shared" si="7"/>
        <v>CARLA CHENE+ REHAUSSE 13 20*50 VERRE</v>
      </c>
      <c r="AA161" s="39" t="s">
        <v>45</v>
      </c>
      <c r="AB161" s="39" t="s">
        <v>46</v>
      </c>
      <c r="AC161" s="47" t="str">
        <f t="shared" si="8"/>
        <v>CARLA CHENE+ REHAUSSE 13 20*50 VERRE</v>
      </c>
      <c r="AD161" s="39" t="s">
        <v>47</v>
      </c>
      <c r="AE161" s="39" t="str">
        <f t="shared" si="9"/>
        <v>EVA  20*50 CHENE VERRE REHAUSSE 10mm - CADRES GALERIE - Pas de passepartout - Dos classique sans chevalet (Largeur 15mm Profondeur 30mm)</v>
      </c>
      <c r="AF161" s="39" t="str">
        <f t="shared" si="1"/>
        <v>EVA  20*50 CHENE VERRE REHAUSSE 10mm - CADRES GALERIE - Pas de passepartout - Dos classique sans chevalet (Largeur 15mm Profondeur 30mm)</v>
      </c>
      <c r="AG161" s="53">
        <f t="shared" si="10"/>
        <v>25.42619134</v>
      </c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5.75" customHeight="1">
      <c r="A162" s="39">
        <v>108.0</v>
      </c>
      <c r="B162" s="40" t="s">
        <v>227</v>
      </c>
      <c r="C162" s="41" t="s">
        <v>74</v>
      </c>
      <c r="D162" s="42" t="s">
        <v>246</v>
      </c>
      <c r="E162" s="43">
        <v>345707.0</v>
      </c>
      <c r="F162" s="44" t="s">
        <v>246</v>
      </c>
      <c r="G162" s="45">
        <v>9.0</v>
      </c>
      <c r="H162" s="54">
        <v>15.998659793675643</v>
      </c>
      <c r="I162" s="47" t="s">
        <v>39</v>
      </c>
      <c r="J162" s="39" t="str">
        <f t="shared" si="2"/>
        <v>070879 - CARLA</v>
      </c>
      <c r="K162" s="47">
        <f t="shared" si="3"/>
        <v>29.7475</v>
      </c>
      <c r="L162" s="48">
        <v>16.3</v>
      </c>
      <c r="M162" s="49">
        <f t="shared" si="4"/>
        <v>29.7475</v>
      </c>
      <c r="N162" s="39" t="s">
        <v>40</v>
      </c>
      <c r="O162" s="39" t="s">
        <v>41</v>
      </c>
      <c r="P162" s="39" t="s">
        <v>229</v>
      </c>
      <c r="Q162" s="47" t="str">
        <f t="shared" si="5"/>
        <v>20*60</v>
      </c>
      <c r="R162" s="50">
        <v>1.0</v>
      </c>
      <c r="S162" s="51">
        <v>1.0</v>
      </c>
      <c r="T162" s="51">
        <v>0.0</v>
      </c>
      <c r="U162" s="51">
        <v>0.0</v>
      </c>
      <c r="V162" s="47" t="s">
        <v>230</v>
      </c>
      <c r="W162" s="47" t="str">
        <f t="shared" si="6"/>
        <v>CHENE - 20*60 - REHAUSSE 10mm - (Largeur 15mm Profondeur 30mm)</v>
      </c>
      <c r="X162" s="50">
        <v>0.0</v>
      </c>
      <c r="Y162" s="52" t="s">
        <v>44</v>
      </c>
      <c r="Z162" s="47" t="str">
        <f t="shared" si="7"/>
        <v>CARLA CHENE+ REHAUSSE 13 20*60 VERRE</v>
      </c>
      <c r="AA162" s="39" t="s">
        <v>45</v>
      </c>
      <c r="AB162" s="39" t="s">
        <v>46</v>
      </c>
      <c r="AC162" s="47" t="str">
        <f t="shared" si="8"/>
        <v>CARLA CHENE+ REHAUSSE 13 20*60 VERRE</v>
      </c>
      <c r="AD162" s="39" t="s">
        <v>47</v>
      </c>
      <c r="AE162" s="39" t="str">
        <f t="shared" si="9"/>
        <v>EVA  20*60 CHENE VERRE REHAUSSE 10mm - CADRES GALERIE - Pas de passepartout - Dos classique sans chevalet (Largeur 15mm Profondeur 30mm)</v>
      </c>
      <c r="AF162" s="39" t="str">
        <f t="shared" si="1"/>
        <v>EVA  20*60 CHENE VERRE REHAUSSE 10mm - CADRES GALERIE - Pas de passepartout - Dos classique sans chevalet (Largeur 15mm Profondeur 30mm)</v>
      </c>
      <c r="AG162" s="53">
        <f t="shared" si="10"/>
        <v>28.79758763</v>
      </c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5.75" customHeight="1">
      <c r="A163" s="39">
        <v>109.0</v>
      </c>
      <c r="B163" s="40" t="s">
        <v>227</v>
      </c>
      <c r="C163" s="41" t="s">
        <v>76</v>
      </c>
      <c r="D163" s="42" t="s">
        <v>247</v>
      </c>
      <c r="E163" s="43">
        <v>345707.0</v>
      </c>
      <c r="F163" s="44" t="s">
        <v>247</v>
      </c>
      <c r="G163" s="45">
        <v>5.0</v>
      </c>
      <c r="H163" s="54">
        <v>10.522991033995554</v>
      </c>
      <c r="I163" s="47" t="s">
        <v>39</v>
      </c>
      <c r="J163" s="39" t="str">
        <f t="shared" si="2"/>
        <v>070880 - CARLA</v>
      </c>
      <c r="K163" s="47">
        <f t="shared" si="3"/>
        <v>19.564</v>
      </c>
      <c r="L163" s="48">
        <v>10.72</v>
      </c>
      <c r="M163" s="49">
        <f t="shared" si="4"/>
        <v>19.564</v>
      </c>
      <c r="N163" s="39" t="s">
        <v>40</v>
      </c>
      <c r="O163" s="39" t="s">
        <v>41</v>
      </c>
      <c r="P163" s="39" t="s">
        <v>229</v>
      </c>
      <c r="Q163" s="47" t="str">
        <f t="shared" si="5"/>
        <v>21*29,7</v>
      </c>
      <c r="R163" s="50">
        <v>1.0</v>
      </c>
      <c r="S163" s="51">
        <v>1.0</v>
      </c>
      <c r="T163" s="51">
        <v>0.0</v>
      </c>
      <c r="U163" s="51">
        <v>0.0</v>
      </c>
      <c r="V163" s="47" t="s">
        <v>230</v>
      </c>
      <c r="W163" s="47" t="str">
        <f t="shared" si="6"/>
        <v>CHENE - 21*29,7 - REHAUSSE 10mm - (Largeur 15mm Profondeur 30mm)</v>
      </c>
      <c r="X163" s="50">
        <v>0.0</v>
      </c>
      <c r="Y163" s="52" t="s">
        <v>44</v>
      </c>
      <c r="Z163" s="47" t="str">
        <f t="shared" si="7"/>
        <v>CARLA CHENE+ REHAUSSE 13 21*29,7 VERRE</v>
      </c>
      <c r="AA163" s="39" t="s">
        <v>45</v>
      </c>
      <c r="AB163" s="39" t="s">
        <v>46</v>
      </c>
      <c r="AC163" s="47" t="str">
        <f t="shared" si="8"/>
        <v>CARLA CHENE+ REHAUSSE 13 21*29,7 VERRE</v>
      </c>
      <c r="AD163" s="39" t="s">
        <v>47</v>
      </c>
      <c r="AE163" s="39" t="str">
        <f t="shared" si="9"/>
        <v>EVA  21*29,7 CHENE VERRE REHAUSSE 10mm - CADRES GALERIE - Pas de passepartout - Dos classique sans chevalet (Largeur 15mm Profondeur 30mm)</v>
      </c>
      <c r="AF163" s="39" t="str">
        <f t="shared" si="1"/>
        <v>EVA  21*29,7 CHENE VERRE REHAUSSE 10mm - CADRES GALERIE - Pas de passepartout - Dos classique sans chevalet (Largeur 15mm Profondeur 30mm)</v>
      </c>
      <c r="AG163" s="53">
        <f t="shared" si="10"/>
        <v>18.94138386</v>
      </c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5.75" customHeight="1">
      <c r="A164" s="39">
        <v>110.0</v>
      </c>
      <c r="B164" s="40" t="s">
        <v>227</v>
      </c>
      <c r="C164" s="41" t="s">
        <v>78</v>
      </c>
      <c r="D164" s="42" t="s">
        <v>248</v>
      </c>
      <c r="E164" s="43">
        <v>345707.0</v>
      </c>
      <c r="F164" s="44" t="s">
        <v>248</v>
      </c>
      <c r="G164" s="45">
        <v>2.0</v>
      </c>
      <c r="H164" s="54">
        <v>14.804827193781083</v>
      </c>
      <c r="I164" s="47" t="s">
        <v>39</v>
      </c>
      <c r="J164" s="39" t="str">
        <f t="shared" si="2"/>
        <v>070881 - CARLA</v>
      </c>
      <c r="K164" s="47">
        <f t="shared" si="3"/>
        <v>27.53925</v>
      </c>
      <c r="L164" s="48">
        <v>15.09</v>
      </c>
      <c r="M164" s="49">
        <f t="shared" si="4"/>
        <v>27.53925</v>
      </c>
      <c r="N164" s="39" t="s">
        <v>40</v>
      </c>
      <c r="O164" s="39" t="s">
        <v>41</v>
      </c>
      <c r="P164" s="39" t="s">
        <v>229</v>
      </c>
      <c r="Q164" s="47" t="str">
        <f t="shared" si="5"/>
        <v>23*50</v>
      </c>
      <c r="R164" s="50">
        <v>1.0</v>
      </c>
      <c r="S164" s="51">
        <v>1.0</v>
      </c>
      <c r="T164" s="51">
        <v>0.0</v>
      </c>
      <c r="U164" s="51">
        <v>0.0</v>
      </c>
      <c r="V164" s="47" t="s">
        <v>230</v>
      </c>
      <c r="W164" s="47" t="str">
        <f t="shared" si="6"/>
        <v>CHENE - 23*50 - REHAUSSE 10mm - (Largeur 15mm Profondeur 30mm)</v>
      </c>
      <c r="X164" s="50">
        <v>0.0</v>
      </c>
      <c r="Y164" s="52" t="s">
        <v>44</v>
      </c>
      <c r="Z164" s="47" t="str">
        <f t="shared" si="7"/>
        <v>CARLA CHENE+ REHAUSSE 13 23*50 VERRE</v>
      </c>
      <c r="AA164" s="39" t="s">
        <v>45</v>
      </c>
      <c r="AB164" s="39" t="s">
        <v>46</v>
      </c>
      <c r="AC164" s="47" t="str">
        <f t="shared" si="8"/>
        <v>CARLA CHENE+ REHAUSSE 13 23*50 VERRE</v>
      </c>
      <c r="AD164" s="39" t="s">
        <v>47</v>
      </c>
      <c r="AE164" s="39" t="str">
        <f t="shared" si="9"/>
        <v>EVA  23*50 CHENE VERRE REHAUSSE 10mm - CADRES GALERIE - Pas de passepartout - Dos classique sans chevalet (Largeur 15mm Profondeur 30mm)</v>
      </c>
      <c r="AF164" s="39" t="str">
        <f t="shared" si="1"/>
        <v>EVA  23*50 CHENE VERRE REHAUSSE 10mm - CADRES GALERIE - Pas de passepartout - Dos classique sans chevalet (Largeur 15mm Profondeur 30mm)</v>
      </c>
      <c r="AG164" s="53">
        <f t="shared" si="10"/>
        <v>26.64868895</v>
      </c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5.75" customHeight="1">
      <c r="A165" s="39">
        <v>111.0</v>
      </c>
      <c r="B165" s="40" t="s">
        <v>227</v>
      </c>
      <c r="C165" s="41" t="s">
        <v>80</v>
      </c>
      <c r="D165" s="42" t="s">
        <v>249</v>
      </c>
      <c r="E165" s="43">
        <v>345707.0</v>
      </c>
      <c r="F165" s="44" t="s">
        <v>249</v>
      </c>
      <c r="G165" s="45">
        <v>9.0</v>
      </c>
      <c r="H165" s="54">
        <v>11.180983353719153</v>
      </c>
      <c r="I165" s="47" t="s">
        <v>39</v>
      </c>
      <c r="J165" s="39" t="str">
        <f t="shared" si="2"/>
        <v>070882 - CARLA</v>
      </c>
      <c r="K165" s="47">
        <f t="shared" si="3"/>
        <v>20.78675</v>
      </c>
      <c r="L165" s="48">
        <v>11.39</v>
      </c>
      <c r="M165" s="49">
        <f t="shared" si="4"/>
        <v>20.78675</v>
      </c>
      <c r="N165" s="39" t="s">
        <v>40</v>
      </c>
      <c r="O165" s="39" t="s">
        <v>41</v>
      </c>
      <c r="P165" s="39" t="s">
        <v>229</v>
      </c>
      <c r="Q165" s="47" t="str">
        <f t="shared" si="5"/>
        <v>24*30</v>
      </c>
      <c r="R165" s="50">
        <v>1.0</v>
      </c>
      <c r="S165" s="51">
        <v>1.0</v>
      </c>
      <c r="T165" s="51">
        <v>0.0</v>
      </c>
      <c r="U165" s="51">
        <v>0.0</v>
      </c>
      <c r="V165" s="47" t="s">
        <v>230</v>
      </c>
      <c r="W165" s="47" t="str">
        <f t="shared" si="6"/>
        <v>CHENE - 24*30 - REHAUSSE 10mm - (Largeur 15mm Profondeur 30mm)</v>
      </c>
      <c r="X165" s="50">
        <v>0.0</v>
      </c>
      <c r="Y165" s="52" t="s">
        <v>44</v>
      </c>
      <c r="Z165" s="47" t="str">
        <f t="shared" si="7"/>
        <v>CARLA CHENE+ REHAUSSE 13 24*30 VERRE</v>
      </c>
      <c r="AA165" s="39" t="s">
        <v>45</v>
      </c>
      <c r="AB165" s="39" t="s">
        <v>46</v>
      </c>
      <c r="AC165" s="47" t="str">
        <f t="shared" si="8"/>
        <v>CARLA CHENE+ REHAUSSE 13 24*30 VERRE</v>
      </c>
      <c r="AD165" s="39" t="s">
        <v>47</v>
      </c>
      <c r="AE165" s="39" t="str">
        <f t="shared" si="9"/>
        <v>EVA  24*30 CHENE VERRE REHAUSSE 10mm - CADRES GALERIE - Pas de passepartout - Dos classique sans chevalet (Largeur 15mm Profondeur 30mm)</v>
      </c>
      <c r="AF165" s="39" t="str">
        <f t="shared" si="1"/>
        <v>EVA  24*30 CHENE VERRE REHAUSSE 10mm - CADRES GALERIE - Pas de passepartout - Dos classique sans chevalet (Largeur 15mm Profondeur 30mm)</v>
      </c>
      <c r="AG165" s="53">
        <f t="shared" si="10"/>
        <v>20.12577004</v>
      </c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5.75" customHeight="1">
      <c r="A166" s="39">
        <v>112.0</v>
      </c>
      <c r="B166" s="40" t="s">
        <v>227</v>
      </c>
      <c r="C166" s="41" t="s">
        <v>82</v>
      </c>
      <c r="D166" s="42" t="s">
        <v>250</v>
      </c>
      <c r="E166" s="43">
        <v>345707.0</v>
      </c>
      <c r="F166" s="44" t="s">
        <v>250</v>
      </c>
      <c r="G166" s="45">
        <v>6.0</v>
      </c>
      <c r="H166" s="54">
        <v>15.257604087056237</v>
      </c>
      <c r="I166" s="47" t="s">
        <v>39</v>
      </c>
      <c r="J166" s="39" t="str">
        <f t="shared" si="2"/>
        <v>070883 - CARLA</v>
      </c>
      <c r="K166" s="47">
        <f t="shared" si="3"/>
        <v>28.37875</v>
      </c>
      <c r="L166" s="48">
        <v>15.55</v>
      </c>
      <c r="M166" s="49">
        <f t="shared" si="4"/>
        <v>28.37875</v>
      </c>
      <c r="N166" s="39" t="s">
        <v>40</v>
      </c>
      <c r="O166" s="39" t="s">
        <v>41</v>
      </c>
      <c r="P166" s="39" t="s">
        <v>229</v>
      </c>
      <c r="Q166" s="47" t="str">
        <f t="shared" si="5"/>
        <v>25*50</v>
      </c>
      <c r="R166" s="50">
        <v>1.0</v>
      </c>
      <c r="S166" s="51">
        <v>1.0</v>
      </c>
      <c r="T166" s="51">
        <v>0.0</v>
      </c>
      <c r="U166" s="51">
        <v>0.0</v>
      </c>
      <c r="V166" s="47" t="s">
        <v>230</v>
      </c>
      <c r="W166" s="47" t="str">
        <f t="shared" si="6"/>
        <v>CHENE - 25*50 - REHAUSSE 10mm - (Largeur 15mm Profondeur 30mm)</v>
      </c>
      <c r="X166" s="50">
        <v>0.0</v>
      </c>
      <c r="Y166" s="52" t="s">
        <v>44</v>
      </c>
      <c r="Z166" s="47" t="str">
        <f t="shared" si="7"/>
        <v>CARLA CHENE+ REHAUSSE 13 25*50 VERRE</v>
      </c>
      <c r="AA166" s="39" t="s">
        <v>45</v>
      </c>
      <c r="AB166" s="39" t="s">
        <v>46</v>
      </c>
      <c r="AC166" s="47" t="str">
        <f t="shared" si="8"/>
        <v>CARLA CHENE+ REHAUSSE 13 25*50 VERRE</v>
      </c>
      <c r="AD166" s="39" t="s">
        <v>47</v>
      </c>
      <c r="AE166" s="39" t="str">
        <f t="shared" si="9"/>
        <v>EVA  25*50 CHENE VERRE REHAUSSE 10mm - CADRES GALERIE - Pas de passepartout - Dos classique sans chevalet (Largeur 15mm Profondeur 30mm)</v>
      </c>
      <c r="AF166" s="39" t="str">
        <f t="shared" si="1"/>
        <v>EVA  25*50 CHENE VERRE REHAUSSE 10mm - CADRES GALERIE - Pas de passepartout - Dos classique sans chevalet (Largeur 15mm Profondeur 30mm)</v>
      </c>
      <c r="AG166" s="53">
        <f t="shared" si="10"/>
        <v>27.46368736</v>
      </c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5.75" customHeight="1">
      <c r="A167" s="39">
        <v>113.0</v>
      </c>
      <c r="B167" s="40" t="s">
        <v>227</v>
      </c>
      <c r="C167" s="41" t="s">
        <v>84</v>
      </c>
      <c r="D167" s="42" t="s">
        <v>251</v>
      </c>
      <c r="E167" s="43">
        <v>345707.0</v>
      </c>
      <c r="F167" s="44" t="s">
        <v>251</v>
      </c>
      <c r="G167" s="45">
        <v>3.0</v>
      </c>
      <c r="H167" s="54">
        <v>14.721763806885285</v>
      </c>
      <c r="I167" s="47" t="s">
        <v>39</v>
      </c>
      <c r="J167" s="39" t="str">
        <f t="shared" si="2"/>
        <v>070884 - CARLA</v>
      </c>
      <c r="K167" s="47">
        <f t="shared" si="3"/>
        <v>27.375</v>
      </c>
      <c r="L167" s="48">
        <v>15.0</v>
      </c>
      <c r="M167" s="49">
        <f t="shared" si="4"/>
        <v>27.375</v>
      </c>
      <c r="N167" s="39" t="s">
        <v>40</v>
      </c>
      <c r="O167" s="39" t="s">
        <v>41</v>
      </c>
      <c r="P167" s="39" t="s">
        <v>229</v>
      </c>
      <c r="Q167" s="47" t="str">
        <f t="shared" si="5"/>
        <v>29,7*42</v>
      </c>
      <c r="R167" s="50">
        <v>1.0</v>
      </c>
      <c r="S167" s="51">
        <v>1.0</v>
      </c>
      <c r="T167" s="51">
        <v>0.0</v>
      </c>
      <c r="U167" s="51">
        <v>0.0</v>
      </c>
      <c r="V167" s="47" t="s">
        <v>230</v>
      </c>
      <c r="W167" s="47" t="str">
        <f t="shared" si="6"/>
        <v>CHENE - 29,7*42 - REHAUSSE 10mm - (Largeur 15mm Profondeur 30mm)</v>
      </c>
      <c r="X167" s="50">
        <v>0.0</v>
      </c>
      <c r="Y167" s="52" t="s">
        <v>44</v>
      </c>
      <c r="Z167" s="47" t="str">
        <f t="shared" si="7"/>
        <v>CARLA CHENE+ REHAUSSE 13 29,7*42 VERRE</v>
      </c>
      <c r="AA167" s="39" t="s">
        <v>45</v>
      </c>
      <c r="AB167" s="39" t="s">
        <v>46</v>
      </c>
      <c r="AC167" s="47" t="str">
        <f t="shared" si="8"/>
        <v>CARLA CHENE+ REHAUSSE 13 29,7*42 VERRE</v>
      </c>
      <c r="AD167" s="39" t="s">
        <v>47</v>
      </c>
      <c r="AE167" s="39" t="str">
        <f t="shared" si="9"/>
        <v>EVA  29,7*42 CHENE VERRE REHAUSSE 10mm - CADRES GALERIE - Pas de passepartout - Dos classique sans chevalet (Largeur 15mm Profondeur 30mm)</v>
      </c>
      <c r="AF167" s="39" t="str">
        <f t="shared" si="1"/>
        <v>EVA  29,7*42 CHENE VERRE REHAUSSE 10mm - CADRES GALERIE - Pas de passepartout - Dos classique sans chevalet (Largeur 15mm Profondeur 30mm)</v>
      </c>
      <c r="AG167" s="53">
        <f t="shared" si="10"/>
        <v>26.49917485</v>
      </c>
      <c r="AH167" s="39"/>
      <c r="AI167" s="39"/>
      <c r="AJ167" s="39"/>
      <c r="AK167" s="39"/>
      <c r="AL167" s="39"/>
      <c r="AM167" s="39"/>
      <c r="AN167" s="39"/>
      <c r="AO167" s="39"/>
      <c r="AP167" s="39"/>
    </row>
    <row r="168" ht="15.75" customHeight="1">
      <c r="A168" s="39">
        <v>114.0</v>
      </c>
      <c r="B168" s="40" t="s">
        <v>227</v>
      </c>
      <c r="C168" s="41" t="s">
        <v>86</v>
      </c>
      <c r="D168" s="42" t="s">
        <v>252</v>
      </c>
      <c r="E168" s="43">
        <v>345707.0</v>
      </c>
      <c r="F168" s="44" t="s">
        <v>252</v>
      </c>
      <c r="G168" s="45">
        <v>0.0</v>
      </c>
      <c r="H168" s="54">
        <v>12.382959422917224</v>
      </c>
      <c r="I168" s="47" t="s">
        <v>39</v>
      </c>
      <c r="J168" s="39" t="str">
        <f t="shared" si="2"/>
        <v>070885 - CARLA</v>
      </c>
      <c r="K168" s="47">
        <f t="shared" si="3"/>
        <v>23.0315</v>
      </c>
      <c r="L168" s="48">
        <v>12.62</v>
      </c>
      <c r="M168" s="49">
        <f t="shared" si="4"/>
        <v>23.0315</v>
      </c>
      <c r="N168" s="39" t="s">
        <v>40</v>
      </c>
      <c r="O168" s="39" t="s">
        <v>41</v>
      </c>
      <c r="P168" s="39" t="s">
        <v>229</v>
      </c>
      <c r="Q168" s="47" t="str">
        <f t="shared" si="5"/>
        <v>30*30</v>
      </c>
      <c r="R168" s="50">
        <v>1.0</v>
      </c>
      <c r="S168" s="51">
        <v>1.0</v>
      </c>
      <c r="T168" s="51">
        <v>0.0</v>
      </c>
      <c r="U168" s="51">
        <v>0.0</v>
      </c>
      <c r="V168" s="47" t="s">
        <v>230</v>
      </c>
      <c r="W168" s="47" t="str">
        <f t="shared" si="6"/>
        <v>CHENE - 30*30 - REHAUSSE 10mm - (Largeur 15mm Profondeur 30mm)</v>
      </c>
      <c r="X168" s="50">
        <v>0.0</v>
      </c>
      <c r="Y168" s="52" t="s">
        <v>44</v>
      </c>
      <c r="Z168" s="47" t="str">
        <f t="shared" si="7"/>
        <v>CARLA CHENE+ REHAUSSE 13 30*30 VERRE</v>
      </c>
      <c r="AA168" s="39" t="s">
        <v>45</v>
      </c>
      <c r="AB168" s="39" t="s">
        <v>46</v>
      </c>
      <c r="AC168" s="47" t="str">
        <f t="shared" si="8"/>
        <v>CARLA CHENE+ REHAUSSE 13 30*30 VERRE</v>
      </c>
      <c r="AD168" s="39" t="s">
        <v>47</v>
      </c>
      <c r="AE168" s="39" t="str">
        <f t="shared" si="9"/>
        <v>EVA  30*30 CHENE VERRE REHAUSSE 10mm - CADRES GALERIE - Pas de passepartout - Dos classique sans chevalet (Largeur 15mm Profondeur 30mm)</v>
      </c>
      <c r="AF168" s="39" t="str">
        <f t="shared" si="1"/>
        <v>EVA  30*30 CHENE VERRE REHAUSSE 10mm - CADRES GALERIE - Pas de passepartout - Dos classique sans chevalet (Largeur 15mm Profondeur 30mm)</v>
      </c>
      <c r="AG168" s="53">
        <f t="shared" si="10"/>
        <v>22.28932696</v>
      </c>
      <c r="AH168" s="39"/>
      <c r="AI168" s="39"/>
      <c r="AJ168" s="39"/>
      <c r="AK168" s="39"/>
      <c r="AL168" s="39"/>
      <c r="AM168" s="39"/>
      <c r="AN168" s="39"/>
      <c r="AO168" s="39"/>
      <c r="AP168" s="39"/>
    </row>
    <row r="169" ht="15.75" customHeight="1">
      <c r="A169" s="39">
        <v>115.0</v>
      </c>
      <c r="B169" s="40" t="s">
        <v>227</v>
      </c>
      <c r="C169" s="41" t="s">
        <v>88</v>
      </c>
      <c r="D169" s="42" t="s">
        <v>253</v>
      </c>
      <c r="E169" s="43">
        <v>345707.0</v>
      </c>
      <c r="F169" s="44" t="s">
        <v>253</v>
      </c>
      <c r="G169" s="45">
        <v>7.0</v>
      </c>
      <c r="H169" s="54">
        <v>14.386252871580671</v>
      </c>
      <c r="I169" s="47" t="s">
        <v>39</v>
      </c>
      <c r="J169" s="39" t="str">
        <f t="shared" si="2"/>
        <v>070886 - CARLA</v>
      </c>
      <c r="K169" s="47">
        <f t="shared" si="3"/>
        <v>26.7545</v>
      </c>
      <c r="L169" s="48">
        <v>14.66</v>
      </c>
      <c r="M169" s="49">
        <f t="shared" si="4"/>
        <v>26.7545</v>
      </c>
      <c r="N169" s="39" t="s">
        <v>40</v>
      </c>
      <c r="O169" s="39" t="s">
        <v>41</v>
      </c>
      <c r="P169" s="39" t="s">
        <v>229</v>
      </c>
      <c r="Q169" s="47" t="str">
        <f t="shared" si="5"/>
        <v>30*40</v>
      </c>
      <c r="R169" s="50">
        <v>1.0</v>
      </c>
      <c r="S169" s="51">
        <v>1.0</v>
      </c>
      <c r="T169" s="51">
        <v>0.0</v>
      </c>
      <c r="U169" s="51">
        <v>0.0</v>
      </c>
      <c r="V169" s="47" t="s">
        <v>230</v>
      </c>
      <c r="W169" s="47" t="str">
        <f t="shared" si="6"/>
        <v>CHENE - 30*40 - REHAUSSE 10mm - (Largeur 15mm Profondeur 30mm)</v>
      </c>
      <c r="X169" s="50">
        <v>0.0</v>
      </c>
      <c r="Y169" s="52" t="s">
        <v>44</v>
      </c>
      <c r="Z169" s="47" t="str">
        <f t="shared" si="7"/>
        <v>CARLA CHENE+ REHAUSSE 13 30*40 VERRE</v>
      </c>
      <c r="AA169" s="39" t="s">
        <v>45</v>
      </c>
      <c r="AB169" s="39" t="s">
        <v>46</v>
      </c>
      <c r="AC169" s="47" t="str">
        <f t="shared" si="8"/>
        <v>CARLA CHENE+ REHAUSSE 13 30*40 VERRE</v>
      </c>
      <c r="AD169" s="39" t="s">
        <v>47</v>
      </c>
      <c r="AE169" s="39" t="str">
        <f t="shared" si="9"/>
        <v>EVA  30*40 CHENE VERRE REHAUSSE 10mm - CADRES GALERIE - Pas de passepartout - Dos classique sans chevalet (Largeur 15mm Profondeur 30mm)</v>
      </c>
      <c r="AF169" s="39" t="str">
        <f t="shared" si="1"/>
        <v>EVA  30*40 CHENE VERRE REHAUSSE 10mm - CADRES GALERIE - Pas de passepartout - Dos classique sans chevalet (Largeur 15mm Profondeur 30mm)</v>
      </c>
      <c r="AG169" s="53">
        <f t="shared" si="10"/>
        <v>25.89525517</v>
      </c>
      <c r="AH169" s="39"/>
      <c r="AI169" s="39"/>
      <c r="AJ169" s="39"/>
      <c r="AK169" s="39"/>
      <c r="AL169" s="39"/>
      <c r="AM169" s="39"/>
      <c r="AN169" s="39"/>
      <c r="AO169" s="39"/>
      <c r="AP169" s="39"/>
    </row>
    <row r="170" ht="15.75" customHeight="1">
      <c r="A170" s="39">
        <v>116.0</v>
      </c>
      <c r="B170" s="40" t="s">
        <v>227</v>
      </c>
      <c r="C170" s="41" t="s">
        <v>90</v>
      </c>
      <c r="D170" s="42" t="s">
        <v>254</v>
      </c>
      <c r="E170" s="43">
        <v>345707.0</v>
      </c>
      <c r="F170" s="44" t="s">
        <v>254</v>
      </c>
      <c r="G170" s="45">
        <v>4.0</v>
      </c>
      <c r="H170" s="54">
        <v>15.3878995959124</v>
      </c>
      <c r="I170" s="47" t="s">
        <v>39</v>
      </c>
      <c r="J170" s="39" t="str">
        <f t="shared" si="2"/>
        <v>070887 - CARLA</v>
      </c>
      <c r="K170" s="47">
        <f t="shared" si="3"/>
        <v>28.616</v>
      </c>
      <c r="L170" s="48">
        <v>15.68</v>
      </c>
      <c r="M170" s="49">
        <f t="shared" si="4"/>
        <v>28.616</v>
      </c>
      <c r="N170" s="39" t="s">
        <v>40</v>
      </c>
      <c r="O170" s="39" t="s">
        <v>41</v>
      </c>
      <c r="P170" s="39" t="s">
        <v>229</v>
      </c>
      <c r="Q170" s="47" t="str">
        <f t="shared" si="5"/>
        <v>30*45</v>
      </c>
      <c r="R170" s="50">
        <v>1.0</v>
      </c>
      <c r="S170" s="51">
        <v>1.0</v>
      </c>
      <c r="T170" s="51">
        <v>0.0</v>
      </c>
      <c r="U170" s="51">
        <v>0.0</v>
      </c>
      <c r="V170" s="47" t="s">
        <v>230</v>
      </c>
      <c r="W170" s="47" t="str">
        <f t="shared" si="6"/>
        <v>CHENE - 30*45 - REHAUSSE 10mm - (Largeur 15mm Profondeur 30mm)</v>
      </c>
      <c r="X170" s="50">
        <v>0.0</v>
      </c>
      <c r="Y170" s="52" t="s">
        <v>44</v>
      </c>
      <c r="Z170" s="47" t="str">
        <f t="shared" si="7"/>
        <v>CARLA CHENE+ REHAUSSE 13 30*45 VERRE</v>
      </c>
      <c r="AA170" s="39" t="s">
        <v>45</v>
      </c>
      <c r="AB170" s="39" t="s">
        <v>46</v>
      </c>
      <c r="AC170" s="47" t="str">
        <f t="shared" si="8"/>
        <v>CARLA CHENE+ REHAUSSE 13 30*45 VERRE</v>
      </c>
      <c r="AD170" s="39" t="s">
        <v>47</v>
      </c>
      <c r="AE170" s="39" t="str">
        <f t="shared" si="9"/>
        <v>EVA  30*45 CHENE VERRE REHAUSSE 10mm - CADRES GALERIE - Pas de passepartout - Dos classique sans chevalet (Largeur 15mm Profondeur 30mm)</v>
      </c>
      <c r="AF170" s="39" t="str">
        <f t="shared" si="1"/>
        <v>EVA  30*45 CHENE VERRE REHAUSSE 10mm - CADRES GALERIE - Pas de passepartout - Dos classique sans chevalet (Largeur 15mm Profondeur 30mm)</v>
      </c>
      <c r="AG170" s="53">
        <f t="shared" si="10"/>
        <v>27.69821927</v>
      </c>
      <c r="AH170" s="39"/>
      <c r="AI170" s="39"/>
      <c r="AJ170" s="39"/>
      <c r="AK170" s="39"/>
      <c r="AL170" s="39"/>
      <c r="AM170" s="39"/>
      <c r="AN170" s="39"/>
      <c r="AO170" s="39"/>
      <c r="AP170" s="39"/>
    </row>
    <row r="171" ht="15.75" customHeight="1">
      <c r="A171" s="39">
        <v>117.0</v>
      </c>
      <c r="B171" s="40" t="s">
        <v>227</v>
      </c>
      <c r="C171" s="41" t="s">
        <v>92</v>
      </c>
      <c r="D171" s="42" t="s">
        <v>255</v>
      </c>
      <c r="E171" s="43">
        <v>345707.0</v>
      </c>
      <c r="F171" s="44" t="s">
        <v>255</v>
      </c>
      <c r="G171" s="45">
        <v>1.0</v>
      </c>
      <c r="H171" s="54">
        <v>26.259431116098177</v>
      </c>
      <c r="I171" s="47" t="s">
        <v>39</v>
      </c>
      <c r="J171" s="39" t="str">
        <f t="shared" si="2"/>
        <v>070888 - CARLA</v>
      </c>
      <c r="K171" s="47">
        <f t="shared" si="3"/>
        <v>48.837</v>
      </c>
      <c r="L171" s="48">
        <v>26.76</v>
      </c>
      <c r="M171" s="49">
        <f t="shared" si="4"/>
        <v>48.837</v>
      </c>
      <c r="N171" s="39" t="s">
        <v>40</v>
      </c>
      <c r="O171" s="39" t="s">
        <v>41</v>
      </c>
      <c r="P171" s="39" t="s">
        <v>229</v>
      </c>
      <c r="Q171" s="47" t="str">
        <f t="shared" si="5"/>
        <v>33*95</v>
      </c>
      <c r="R171" s="50">
        <v>1.0</v>
      </c>
      <c r="S171" s="51">
        <v>1.0</v>
      </c>
      <c r="T171" s="51">
        <v>0.0</v>
      </c>
      <c r="U171" s="51">
        <v>0.0</v>
      </c>
      <c r="V171" s="47" t="s">
        <v>230</v>
      </c>
      <c r="W171" s="47" t="str">
        <f t="shared" si="6"/>
        <v>CHENE - 33*95 - REHAUSSE 10mm - (Largeur 15mm Profondeur 30mm)</v>
      </c>
      <c r="X171" s="50">
        <v>0.0</v>
      </c>
      <c r="Y171" s="52" t="s">
        <v>44</v>
      </c>
      <c r="Z171" s="47" t="str">
        <f t="shared" si="7"/>
        <v>CARLA CHENE+ REHAUSSE 13 33*95 VERRE</v>
      </c>
      <c r="AA171" s="39" t="s">
        <v>45</v>
      </c>
      <c r="AB171" s="39" t="s">
        <v>46</v>
      </c>
      <c r="AC171" s="47" t="str">
        <f t="shared" si="8"/>
        <v>CARLA CHENE+ REHAUSSE 13 33*95 VERRE</v>
      </c>
      <c r="AD171" s="39" t="s">
        <v>47</v>
      </c>
      <c r="AE171" s="39" t="str">
        <f t="shared" si="9"/>
        <v>EVA  33*95 CHENE VERRE REHAUSSE 10mm - CADRES GALERIE - Pas de passepartout - Dos classique sans chevalet (Largeur 15mm Profondeur 30mm)</v>
      </c>
      <c r="AF171" s="39" t="str">
        <f t="shared" si="1"/>
        <v>EVA  33*95 CHENE VERRE REHAUSSE 10mm - CADRES GALERIE - Pas de passepartout - Dos classique sans chevalet (Largeur 15mm Profondeur 30mm)</v>
      </c>
      <c r="AG171" s="53">
        <f t="shared" si="10"/>
        <v>47.26697601</v>
      </c>
      <c r="AH171" s="39"/>
      <c r="AI171" s="39"/>
      <c r="AJ171" s="39"/>
      <c r="AK171" s="39"/>
      <c r="AL171" s="39"/>
      <c r="AM171" s="39"/>
      <c r="AN171" s="39"/>
      <c r="AO171" s="39"/>
      <c r="AP171" s="39"/>
    </row>
    <row r="172" ht="15.75" customHeight="1">
      <c r="A172" s="39">
        <v>118.0</v>
      </c>
      <c r="B172" s="40" t="s">
        <v>227</v>
      </c>
      <c r="C172" s="41" t="s">
        <v>94</v>
      </c>
      <c r="D172" s="42" t="s">
        <v>256</v>
      </c>
      <c r="E172" s="43">
        <v>345707.0</v>
      </c>
      <c r="F172" s="44" t="s">
        <v>256</v>
      </c>
      <c r="G172" s="45">
        <v>8.0</v>
      </c>
      <c r="H172" s="54">
        <v>16.519841829100283</v>
      </c>
      <c r="I172" s="47" t="s">
        <v>39</v>
      </c>
      <c r="J172" s="39" t="str">
        <f t="shared" si="2"/>
        <v>070889 - CARLA</v>
      </c>
      <c r="K172" s="47">
        <f t="shared" si="3"/>
        <v>30.71475</v>
      </c>
      <c r="L172" s="48">
        <v>16.83</v>
      </c>
      <c r="M172" s="49">
        <f t="shared" si="4"/>
        <v>30.71475</v>
      </c>
      <c r="N172" s="39" t="s">
        <v>40</v>
      </c>
      <c r="O172" s="39" t="s">
        <v>41</v>
      </c>
      <c r="P172" s="39" t="s">
        <v>229</v>
      </c>
      <c r="Q172" s="47" t="str">
        <f t="shared" si="5"/>
        <v>40*40</v>
      </c>
      <c r="R172" s="50">
        <v>1.0</v>
      </c>
      <c r="S172" s="51">
        <v>1.0</v>
      </c>
      <c r="T172" s="51">
        <v>0.0</v>
      </c>
      <c r="U172" s="51">
        <v>0.0</v>
      </c>
      <c r="V172" s="47" t="s">
        <v>230</v>
      </c>
      <c r="W172" s="47" t="str">
        <f t="shared" si="6"/>
        <v>CHENE - 40*40 - REHAUSSE 10mm - (Largeur 15mm Profondeur 30mm)</v>
      </c>
      <c r="X172" s="50">
        <v>0.0</v>
      </c>
      <c r="Y172" s="52" t="s">
        <v>44</v>
      </c>
      <c r="Z172" s="47" t="str">
        <f t="shared" si="7"/>
        <v>CARLA CHENE+ REHAUSSE 13 40*40 VERRE</v>
      </c>
      <c r="AA172" s="39" t="s">
        <v>45</v>
      </c>
      <c r="AB172" s="39" t="s">
        <v>46</v>
      </c>
      <c r="AC172" s="47" t="str">
        <f t="shared" si="8"/>
        <v>CARLA CHENE+ REHAUSSE 13 40*40 VERRE</v>
      </c>
      <c r="AD172" s="39" t="s">
        <v>47</v>
      </c>
      <c r="AE172" s="39" t="str">
        <f t="shared" si="9"/>
        <v>EVA  40*40 CHENE VERRE REHAUSSE 10mm - CADRES GALERIE - Pas de passepartout - Dos classique sans chevalet (Largeur 15mm Profondeur 30mm)</v>
      </c>
      <c r="AF172" s="39" t="str">
        <f t="shared" si="1"/>
        <v>EVA  40*40 CHENE VERRE REHAUSSE 10mm - CADRES GALERIE - Pas de passepartout - Dos classique sans chevalet (Largeur 15mm Profondeur 30mm)</v>
      </c>
      <c r="AG172" s="53">
        <f t="shared" si="10"/>
        <v>29.73571529</v>
      </c>
      <c r="AH172" s="39"/>
      <c r="AI172" s="39"/>
      <c r="AJ172" s="39"/>
      <c r="AK172" s="39"/>
      <c r="AL172" s="39"/>
      <c r="AM172" s="39"/>
      <c r="AN172" s="39"/>
      <c r="AO172" s="39"/>
      <c r="AP172" s="39"/>
    </row>
    <row r="173" ht="15.75" customHeight="1">
      <c r="A173" s="39">
        <v>119.0</v>
      </c>
      <c r="B173" s="40" t="s">
        <v>227</v>
      </c>
      <c r="C173" s="41" t="s">
        <v>96</v>
      </c>
      <c r="D173" s="42" t="s">
        <v>257</v>
      </c>
      <c r="E173" s="43">
        <v>345707.0</v>
      </c>
      <c r="F173" s="44" t="s">
        <v>257</v>
      </c>
      <c r="G173" s="45">
        <v>4.0</v>
      </c>
      <c r="H173" s="54">
        <v>18.653430786619882</v>
      </c>
      <c r="I173" s="47" t="s">
        <v>39</v>
      </c>
      <c r="J173" s="39" t="str">
        <f t="shared" si="2"/>
        <v>070890 - CARLA</v>
      </c>
      <c r="K173" s="47">
        <f t="shared" si="3"/>
        <v>34.69325</v>
      </c>
      <c r="L173" s="48">
        <v>19.01</v>
      </c>
      <c r="M173" s="49">
        <f t="shared" si="4"/>
        <v>34.69325</v>
      </c>
      <c r="N173" s="39" t="s">
        <v>40</v>
      </c>
      <c r="O173" s="39" t="s">
        <v>41</v>
      </c>
      <c r="P173" s="39" t="s">
        <v>229</v>
      </c>
      <c r="Q173" s="47" t="str">
        <f t="shared" si="5"/>
        <v>40*50</v>
      </c>
      <c r="R173" s="50">
        <v>1.0</v>
      </c>
      <c r="S173" s="51">
        <v>1.0</v>
      </c>
      <c r="T173" s="51">
        <v>0.0</v>
      </c>
      <c r="U173" s="51">
        <v>0.0</v>
      </c>
      <c r="V173" s="47" t="s">
        <v>230</v>
      </c>
      <c r="W173" s="47" t="str">
        <f t="shared" si="6"/>
        <v>CHENE - 40*50 - REHAUSSE 10mm - (Largeur 15mm Profondeur 30mm)</v>
      </c>
      <c r="X173" s="50">
        <v>0.0</v>
      </c>
      <c r="Y173" s="52" t="s">
        <v>44</v>
      </c>
      <c r="Z173" s="47" t="str">
        <f t="shared" si="7"/>
        <v>CARLA CHENE+ REHAUSSE 13 40*50 VERRE</v>
      </c>
      <c r="AA173" s="39" t="s">
        <v>45</v>
      </c>
      <c r="AB173" s="39" t="s">
        <v>46</v>
      </c>
      <c r="AC173" s="47" t="str">
        <f t="shared" si="8"/>
        <v>CARLA CHENE+ REHAUSSE 13 40*50 VERRE</v>
      </c>
      <c r="AD173" s="39" t="s">
        <v>47</v>
      </c>
      <c r="AE173" s="39" t="str">
        <f t="shared" si="9"/>
        <v>EVA  40*50 CHENE VERRE REHAUSSE 10mm - CADRES GALERIE - Pas de passepartout - Dos classique sans chevalet (Largeur 15mm Profondeur 30mm)</v>
      </c>
      <c r="AF173" s="39" t="str">
        <f t="shared" si="1"/>
        <v>EVA  40*50 CHENE VERRE REHAUSSE 10mm - CADRES GALERIE - Pas de passepartout - Dos classique sans chevalet (Largeur 15mm Profondeur 30mm)</v>
      </c>
      <c r="AG173" s="53">
        <f t="shared" si="10"/>
        <v>33.57617542</v>
      </c>
      <c r="AH173" s="39"/>
      <c r="AI173" s="39"/>
      <c r="AJ173" s="39"/>
      <c r="AK173" s="39"/>
      <c r="AL173" s="39"/>
      <c r="AM173" s="39"/>
      <c r="AN173" s="39"/>
      <c r="AO173" s="39"/>
      <c r="AP173" s="39"/>
    </row>
    <row r="174" ht="15.75" customHeight="1">
      <c r="A174" s="39">
        <v>120.0</v>
      </c>
      <c r="B174" s="40" t="s">
        <v>227</v>
      </c>
      <c r="C174" s="41" t="s">
        <v>98</v>
      </c>
      <c r="D174" s="42" t="s">
        <v>258</v>
      </c>
      <c r="E174" s="43">
        <v>345707.0</v>
      </c>
      <c r="F174" s="44" t="s">
        <v>258</v>
      </c>
      <c r="G174" s="45">
        <v>1.0</v>
      </c>
      <c r="H174" s="54">
        <v>20.78701974413949</v>
      </c>
      <c r="I174" s="47" t="s">
        <v>39</v>
      </c>
      <c r="J174" s="39" t="str">
        <f t="shared" si="2"/>
        <v>070891 - CARLA</v>
      </c>
      <c r="K174" s="47">
        <f t="shared" si="3"/>
        <v>38.6535</v>
      </c>
      <c r="L174" s="48">
        <v>21.18</v>
      </c>
      <c r="M174" s="49">
        <f t="shared" si="4"/>
        <v>38.6535</v>
      </c>
      <c r="N174" s="39" t="s">
        <v>40</v>
      </c>
      <c r="O174" s="39" t="s">
        <v>41</v>
      </c>
      <c r="P174" s="39" t="s">
        <v>229</v>
      </c>
      <c r="Q174" s="47" t="str">
        <f t="shared" si="5"/>
        <v>40*60</v>
      </c>
      <c r="R174" s="50">
        <v>1.0</v>
      </c>
      <c r="S174" s="51">
        <v>1.0</v>
      </c>
      <c r="T174" s="51">
        <v>0.0</v>
      </c>
      <c r="U174" s="51">
        <v>0.0</v>
      </c>
      <c r="V174" s="47" t="s">
        <v>230</v>
      </c>
      <c r="W174" s="47" t="str">
        <f t="shared" si="6"/>
        <v>CHENE - 40*60 - REHAUSSE 10mm - (Largeur 15mm Profondeur 30mm)</v>
      </c>
      <c r="X174" s="50">
        <v>0.0</v>
      </c>
      <c r="Y174" s="52" t="s">
        <v>44</v>
      </c>
      <c r="Z174" s="47" t="str">
        <f t="shared" si="7"/>
        <v>CARLA CHENE+ REHAUSSE 13 40*60 VERRE</v>
      </c>
      <c r="AA174" s="39" t="s">
        <v>45</v>
      </c>
      <c r="AB174" s="39" t="s">
        <v>46</v>
      </c>
      <c r="AC174" s="47" t="str">
        <f t="shared" si="8"/>
        <v>CARLA CHENE+ REHAUSSE 13 40*60 VERRE</v>
      </c>
      <c r="AD174" s="39" t="s">
        <v>47</v>
      </c>
      <c r="AE174" s="39" t="str">
        <f t="shared" si="9"/>
        <v>EVA  40*60 CHENE VERRE REHAUSSE 10mm - CADRES GALERIE - Pas de passepartout - Dos classique sans chevalet (Largeur 15mm Profondeur 30mm)</v>
      </c>
      <c r="AF174" s="39" t="str">
        <f t="shared" si="1"/>
        <v>EVA  40*60 CHENE VERRE REHAUSSE 10mm - CADRES GALERIE - Pas de passepartout - Dos classique sans chevalet (Largeur 15mm Profondeur 30mm)</v>
      </c>
      <c r="AG174" s="53">
        <f t="shared" si="10"/>
        <v>37.41663554</v>
      </c>
      <c r="AH174" s="39"/>
      <c r="AI174" s="39"/>
      <c r="AJ174" s="39"/>
      <c r="AK174" s="39"/>
      <c r="AL174" s="39"/>
      <c r="AM174" s="39"/>
      <c r="AN174" s="39"/>
      <c r="AO174" s="39"/>
      <c r="AP174" s="39"/>
    </row>
    <row r="175" ht="15.75" customHeight="1">
      <c r="A175" s="39">
        <v>121.0</v>
      </c>
      <c r="B175" s="40" t="s">
        <v>227</v>
      </c>
      <c r="C175" s="41" t="s">
        <v>100</v>
      </c>
      <c r="D175" s="42" t="s">
        <v>259</v>
      </c>
      <c r="E175" s="43">
        <v>345707.0</v>
      </c>
      <c r="F175" s="44" t="s">
        <v>259</v>
      </c>
      <c r="G175" s="45">
        <v>9.0</v>
      </c>
      <c r="H175" s="54">
        <v>21.395764285875</v>
      </c>
      <c r="I175" s="47" t="s">
        <v>39</v>
      </c>
      <c r="J175" s="39" t="str">
        <f t="shared" si="2"/>
        <v>068142 - CARLA</v>
      </c>
      <c r="K175" s="47">
        <f t="shared" si="3"/>
        <v>39.785</v>
      </c>
      <c r="L175" s="48">
        <v>21.8</v>
      </c>
      <c r="M175" s="49">
        <f t="shared" si="4"/>
        <v>39.785</v>
      </c>
      <c r="N175" s="39" t="s">
        <v>40</v>
      </c>
      <c r="O175" s="39" t="s">
        <v>41</v>
      </c>
      <c r="P175" s="39" t="s">
        <v>229</v>
      </c>
      <c r="Q175" s="47" t="str">
        <f t="shared" si="5"/>
        <v>42*59,4</v>
      </c>
      <c r="R175" s="50">
        <v>1.0</v>
      </c>
      <c r="S175" s="51">
        <v>1.0</v>
      </c>
      <c r="T175" s="51">
        <v>0.0</v>
      </c>
      <c r="U175" s="51">
        <v>0.0</v>
      </c>
      <c r="V175" s="47" t="s">
        <v>230</v>
      </c>
      <c r="W175" s="47" t="str">
        <f t="shared" si="6"/>
        <v>CHENE - 42*59,4 - REHAUSSE 10mm - (Largeur 15mm Profondeur 30mm)</v>
      </c>
      <c r="X175" s="50">
        <v>0.0</v>
      </c>
      <c r="Y175" s="52" t="s">
        <v>44</v>
      </c>
      <c r="Z175" s="47" t="str">
        <f t="shared" si="7"/>
        <v>CARLA CHENE+ REHAUSSE 13 42*59,4 VERRE</v>
      </c>
      <c r="AA175" s="39" t="s">
        <v>45</v>
      </c>
      <c r="AB175" s="39" t="s">
        <v>46</v>
      </c>
      <c r="AC175" s="47" t="str">
        <f t="shared" si="8"/>
        <v>CARLA CHENE+ REHAUSSE 13 42*59,4 VERRE</v>
      </c>
      <c r="AD175" s="39" t="s">
        <v>47</v>
      </c>
      <c r="AE175" s="39" t="str">
        <f t="shared" si="9"/>
        <v>EVA  42*59,4 CHENE VERRE REHAUSSE 10mm - CADRES GALERIE - Pas de passepartout - Dos classique sans chevalet (Largeur 15mm Profondeur 30mm)</v>
      </c>
      <c r="AF175" s="39" t="str">
        <f t="shared" si="1"/>
        <v>EVA  42*59,4 CHENE VERRE REHAUSSE 10mm - CADRES GALERIE - Pas de passepartout - Dos classique sans chevalet (Largeur 15mm Profondeur 30mm)</v>
      </c>
      <c r="AG175" s="53">
        <f t="shared" si="10"/>
        <v>38.51237571</v>
      </c>
      <c r="AH175" s="39"/>
      <c r="AI175" s="39"/>
      <c r="AJ175" s="39"/>
      <c r="AK175" s="39"/>
      <c r="AL175" s="39"/>
      <c r="AM175" s="39"/>
      <c r="AN175" s="39"/>
      <c r="AO175" s="39"/>
      <c r="AP175" s="39"/>
    </row>
    <row r="176" ht="15.75" customHeight="1">
      <c r="A176" s="39">
        <v>122.0</v>
      </c>
      <c r="B176" s="40" t="s">
        <v>227</v>
      </c>
      <c r="C176" s="41" t="s">
        <v>102</v>
      </c>
      <c r="D176" s="42" t="s">
        <v>260</v>
      </c>
      <c r="E176" s="43">
        <v>345707.0</v>
      </c>
      <c r="F176" s="44" t="s">
        <v>260</v>
      </c>
      <c r="G176" s="45">
        <v>8.0</v>
      </c>
      <c r="H176" s="54">
        <v>22.44340140047341</v>
      </c>
      <c r="I176" s="47" t="s">
        <v>39</v>
      </c>
      <c r="J176" s="39" t="str">
        <f t="shared" si="2"/>
        <v>070892 - CARLA</v>
      </c>
      <c r="K176" s="47">
        <f t="shared" si="3"/>
        <v>41.73775</v>
      </c>
      <c r="L176" s="48">
        <v>22.87</v>
      </c>
      <c r="M176" s="49">
        <f t="shared" si="4"/>
        <v>41.73775</v>
      </c>
      <c r="N176" s="39" t="s">
        <v>40</v>
      </c>
      <c r="O176" s="39" t="s">
        <v>41</v>
      </c>
      <c r="P176" s="39" t="s">
        <v>229</v>
      </c>
      <c r="Q176" s="47" t="str">
        <f t="shared" si="5"/>
        <v>46*61</v>
      </c>
      <c r="R176" s="50">
        <v>1.0</v>
      </c>
      <c r="S176" s="51">
        <v>1.0</v>
      </c>
      <c r="T176" s="51">
        <v>0.0</v>
      </c>
      <c r="U176" s="51">
        <v>0.0</v>
      </c>
      <c r="V176" s="47" t="s">
        <v>230</v>
      </c>
      <c r="W176" s="47" t="str">
        <f t="shared" si="6"/>
        <v>CHENE - 46*61 - REHAUSSE 10mm - (Largeur 15mm Profondeur 30mm)</v>
      </c>
      <c r="X176" s="50">
        <v>0.0</v>
      </c>
      <c r="Y176" s="52" t="s">
        <v>44</v>
      </c>
      <c r="Z176" s="47" t="str">
        <f t="shared" si="7"/>
        <v>CARLA CHENE+ REHAUSSE 13 46*61 VERRE</v>
      </c>
      <c r="AA176" s="39" t="s">
        <v>45</v>
      </c>
      <c r="AB176" s="39" t="s">
        <v>46</v>
      </c>
      <c r="AC176" s="47" t="str">
        <f t="shared" si="8"/>
        <v>CARLA CHENE+ REHAUSSE 13 46*61 VERRE</v>
      </c>
      <c r="AD176" s="39" t="s">
        <v>47</v>
      </c>
      <c r="AE176" s="39" t="str">
        <f t="shared" si="9"/>
        <v>EVA  46*61 CHENE VERRE REHAUSSE 10mm - CADRES GALERIE - Pas de passepartout - Dos classique sans chevalet (Largeur 15mm Profondeur 30mm)</v>
      </c>
      <c r="AF176" s="39" t="str">
        <f t="shared" si="1"/>
        <v>EVA  46*61 CHENE VERRE REHAUSSE 10mm - CADRES GALERIE - Pas de passepartout - Dos classique sans chevalet (Largeur 15mm Profondeur 30mm)</v>
      </c>
      <c r="AG176" s="53">
        <f t="shared" si="10"/>
        <v>40.39812252</v>
      </c>
      <c r="AH176" s="39"/>
      <c r="AI176" s="39"/>
      <c r="AJ176" s="39"/>
      <c r="AK176" s="39"/>
      <c r="AL176" s="39"/>
      <c r="AM176" s="39"/>
      <c r="AN176" s="39"/>
      <c r="AO176" s="39"/>
      <c r="AP176" s="39"/>
    </row>
    <row r="177" ht="15.75" customHeight="1">
      <c r="A177" s="39">
        <v>123.0</v>
      </c>
      <c r="B177" s="40" t="s">
        <v>227</v>
      </c>
      <c r="C177" s="41" t="s">
        <v>104</v>
      </c>
      <c r="D177" s="42" t="s">
        <v>261</v>
      </c>
      <c r="E177" s="43">
        <v>345707.0</v>
      </c>
      <c r="F177" s="44" t="s">
        <v>261</v>
      </c>
      <c r="G177" s="45">
        <v>5.0</v>
      </c>
      <c r="H177" s="54">
        <v>20.917315252995646</v>
      </c>
      <c r="I177" s="47" t="s">
        <v>39</v>
      </c>
      <c r="J177" s="39" t="str">
        <f t="shared" si="2"/>
        <v>070893 - CARLA</v>
      </c>
      <c r="K177" s="47">
        <f t="shared" si="3"/>
        <v>38.89075</v>
      </c>
      <c r="L177" s="48">
        <v>21.31</v>
      </c>
      <c r="M177" s="49">
        <f t="shared" si="4"/>
        <v>38.89075</v>
      </c>
      <c r="N177" s="39" t="s">
        <v>40</v>
      </c>
      <c r="O177" s="39" t="s">
        <v>41</v>
      </c>
      <c r="P177" s="39" t="s">
        <v>229</v>
      </c>
      <c r="Q177" s="47" t="str">
        <f t="shared" si="5"/>
        <v>50*50</v>
      </c>
      <c r="R177" s="50">
        <v>1.0</v>
      </c>
      <c r="S177" s="51">
        <v>1.0</v>
      </c>
      <c r="T177" s="51">
        <v>0.0</v>
      </c>
      <c r="U177" s="51">
        <v>0.0</v>
      </c>
      <c r="V177" s="47" t="s">
        <v>230</v>
      </c>
      <c r="W177" s="47" t="str">
        <f t="shared" si="6"/>
        <v>CHENE - 50*50 - REHAUSSE 10mm - (Largeur 15mm Profondeur 30mm)</v>
      </c>
      <c r="X177" s="50">
        <v>0.0</v>
      </c>
      <c r="Y177" s="52" t="s">
        <v>44</v>
      </c>
      <c r="Z177" s="47" t="str">
        <f t="shared" si="7"/>
        <v>CARLA CHENE+ REHAUSSE 13 50*50 VERRE</v>
      </c>
      <c r="AA177" s="39" t="s">
        <v>45</v>
      </c>
      <c r="AB177" s="39" t="s">
        <v>46</v>
      </c>
      <c r="AC177" s="47" t="str">
        <f t="shared" si="8"/>
        <v>CARLA CHENE+ REHAUSSE 13 50*50 VERRE</v>
      </c>
      <c r="AD177" s="39" t="s">
        <v>47</v>
      </c>
      <c r="AE177" s="39" t="str">
        <f t="shared" si="9"/>
        <v>EVA  50*50 CHENE VERRE REHAUSSE 10mm - CADRES GALERIE - Pas de passepartout - Dos classique sans chevalet (Largeur 15mm Profondeur 30mm)</v>
      </c>
      <c r="AF177" s="39" t="str">
        <f t="shared" si="1"/>
        <v>EVA  50*50 CHENE VERRE REHAUSSE 10mm - CADRES GALERIE - Pas de passepartout - Dos classique sans chevalet (Largeur 15mm Profondeur 30mm)</v>
      </c>
      <c r="AG177" s="53">
        <f t="shared" si="10"/>
        <v>37.65116746</v>
      </c>
      <c r="AH177" s="39"/>
      <c r="AI177" s="39"/>
      <c r="AJ177" s="39"/>
      <c r="AK177" s="39"/>
      <c r="AL177" s="39"/>
      <c r="AM177" s="39"/>
      <c r="AN177" s="39"/>
      <c r="AO177" s="39"/>
      <c r="AP177" s="39"/>
    </row>
    <row r="178" ht="15.75" customHeight="1">
      <c r="A178" s="39">
        <v>124.0</v>
      </c>
      <c r="B178" s="40" t="s">
        <v>227</v>
      </c>
      <c r="C178" s="41" t="s">
        <v>106</v>
      </c>
      <c r="D178" s="42" t="s">
        <v>262</v>
      </c>
      <c r="E178" s="43">
        <v>345707.0</v>
      </c>
      <c r="F178" s="44" t="s">
        <v>262</v>
      </c>
      <c r="G178" s="45">
        <v>2.0</v>
      </c>
      <c r="H178" s="54">
        <v>23.181199719371413</v>
      </c>
      <c r="I178" s="47" t="s">
        <v>39</v>
      </c>
      <c r="J178" s="39" t="str">
        <f t="shared" si="2"/>
        <v>070894 - CARLA</v>
      </c>
      <c r="K178" s="47">
        <f t="shared" si="3"/>
        <v>43.1065</v>
      </c>
      <c r="L178" s="48">
        <v>23.62</v>
      </c>
      <c r="M178" s="49">
        <f t="shared" si="4"/>
        <v>43.1065</v>
      </c>
      <c r="N178" s="39" t="s">
        <v>40</v>
      </c>
      <c r="O178" s="39" t="s">
        <v>41</v>
      </c>
      <c r="P178" s="39" t="s">
        <v>229</v>
      </c>
      <c r="Q178" s="47" t="str">
        <f t="shared" si="5"/>
        <v>50*60</v>
      </c>
      <c r="R178" s="50">
        <v>1.0</v>
      </c>
      <c r="S178" s="51">
        <v>1.0</v>
      </c>
      <c r="T178" s="51">
        <v>0.0</v>
      </c>
      <c r="U178" s="51">
        <v>0.0</v>
      </c>
      <c r="V178" s="47" t="s">
        <v>230</v>
      </c>
      <c r="W178" s="47" t="str">
        <f t="shared" si="6"/>
        <v>CHENE - 50*60 - REHAUSSE 10mm - (Largeur 15mm Profondeur 30mm)</v>
      </c>
      <c r="X178" s="50">
        <v>0.0</v>
      </c>
      <c r="Y178" s="52" t="s">
        <v>44</v>
      </c>
      <c r="Z178" s="47" t="str">
        <f t="shared" si="7"/>
        <v>CARLA CHENE+ REHAUSSE 13 50*60 VERRE</v>
      </c>
      <c r="AA178" s="39" t="s">
        <v>45</v>
      </c>
      <c r="AB178" s="39" t="s">
        <v>46</v>
      </c>
      <c r="AC178" s="47" t="str">
        <f t="shared" si="8"/>
        <v>CARLA CHENE+ REHAUSSE 13 50*60 VERRE</v>
      </c>
      <c r="AD178" s="39" t="s">
        <v>47</v>
      </c>
      <c r="AE178" s="39" t="str">
        <f t="shared" si="9"/>
        <v>EVA  50*60 CHENE VERRE REHAUSSE 10mm - CADRES GALERIE - Pas de passepartout - Dos classique sans chevalet (Largeur 15mm Profondeur 30mm)</v>
      </c>
      <c r="AF178" s="39" t="str">
        <f t="shared" si="1"/>
        <v>EVA  50*60 CHENE VERRE REHAUSSE 10mm - CADRES GALERIE - Pas de passepartout - Dos classique sans chevalet (Largeur 15mm Profondeur 30mm)</v>
      </c>
      <c r="AG178" s="53">
        <f t="shared" si="10"/>
        <v>41.72615949</v>
      </c>
      <c r="AH178" s="39"/>
      <c r="AI178" s="39"/>
      <c r="AJ178" s="39"/>
      <c r="AK178" s="39"/>
      <c r="AL178" s="39"/>
      <c r="AM178" s="39"/>
      <c r="AN178" s="39"/>
      <c r="AO178" s="39"/>
      <c r="AP178" s="39"/>
    </row>
    <row r="179" ht="15.75" customHeight="1">
      <c r="A179" s="39">
        <v>125.0</v>
      </c>
      <c r="B179" s="40" t="s">
        <v>227</v>
      </c>
      <c r="C179" s="41" t="s">
        <v>108</v>
      </c>
      <c r="D179" s="42" t="s">
        <v>263</v>
      </c>
      <c r="E179" s="43">
        <v>345707.0</v>
      </c>
      <c r="F179" s="44" t="s">
        <v>263</v>
      </c>
      <c r="G179" s="45">
        <v>9.0</v>
      </c>
      <c r="H179" s="54">
        <v>24.3131419525593</v>
      </c>
      <c r="I179" s="47" t="s">
        <v>39</v>
      </c>
      <c r="J179" s="39" t="str">
        <f t="shared" si="2"/>
        <v>070895 - CARLA</v>
      </c>
      <c r="K179" s="47">
        <f t="shared" si="3"/>
        <v>45.2235</v>
      </c>
      <c r="L179" s="48">
        <v>24.78</v>
      </c>
      <c r="M179" s="49">
        <f t="shared" si="4"/>
        <v>45.2235</v>
      </c>
      <c r="N179" s="39" t="s">
        <v>40</v>
      </c>
      <c r="O179" s="39" t="s">
        <v>41</v>
      </c>
      <c r="P179" s="39" t="s">
        <v>229</v>
      </c>
      <c r="Q179" s="47" t="str">
        <f t="shared" si="5"/>
        <v>50*65</v>
      </c>
      <c r="R179" s="50">
        <v>1.0</v>
      </c>
      <c r="S179" s="51">
        <v>1.0</v>
      </c>
      <c r="T179" s="51">
        <v>0.0</v>
      </c>
      <c r="U179" s="51">
        <v>0.0</v>
      </c>
      <c r="V179" s="47" t="s">
        <v>230</v>
      </c>
      <c r="W179" s="47" t="str">
        <f t="shared" si="6"/>
        <v>CHENE - 50*65 - REHAUSSE 10mm - (Largeur 15mm Profondeur 30mm)</v>
      </c>
      <c r="X179" s="50">
        <v>0.0</v>
      </c>
      <c r="Y179" s="52" t="s">
        <v>44</v>
      </c>
      <c r="Z179" s="47" t="str">
        <f t="shared" si="7"/>
        <v>CARLA CHENE+ REHAUSSE 13 50*65 VERRE</v>
      </c>
      <c r="AA179" s="39" t="s">
        <v>45</v>
      </c>
      <c r="AB179" s="39" t="s">
        <v>46</v>
      </c>
      <c r="AC179" s="47" t="str">
        <f t="shared" si="8"/>
        <v>CARLA CHENE+ REHAUSSE 13 50*65 VERRE</v>
      </c>
      <c r="AD179" s="39" t="s">
        <v>47</v>
      </c>
      <c r="AE179" s="39" t="str">
        <f t="shared" si="9"/>
        <v>EVA  50*65 CHENE VERRE REHAUSSE 10mm - CADRES GALERIE - Pas de passepartout - Dos classique sans chevalet (Largeur 15mm Profondeur 30mm)</v>
      </c>
      <c r="AF179" s="39" t="str">
        <f t="shared" si="1"/>
        <v>EVA  50*65 CHENE VERRE REHAUSSE 10mm - CADRES GALERIE - Pas de passepartout - Dos classique sans chevalet (Largeur 15mm Profondeur 30mm)</v>
      </c>
      <c r="AG179" s="53">
        <f t="shared" si="10"/>
        <v>43.76365551</v>
      </c>
      <c r="AH179" s="39"/>
      <c r="AI179" s="39"/>
      <c r="AJ179" s="39"/>
      <c r="AK179" s="39"/>
      <c r="AL179" s="39"/>
      <c r="AM179" s="39"/>
      <c r="AN179" s="39"/>
      <c r="AO179" s="39"/>
      <c r="AP179" s="39"/>
    </row>
    <row r="180" ht="15.75" customHeight="1">
      <c r="A180" s="39">
        <v>126.0</v>
      </c>
      <c r="B180" s="40" t="s">
        <v>227</v>
      </c>
      <c r="C180" s="41" t="s">
        <v>110</v>
      </c>
      <c r="D180" s="42" t="s">
        <v>264</v>
      </c>
      <c r="E180" s="43">
        <v>345707.0</v>
      </c>
      <c r="F180" s="44" t="s">
        <v>264</v>
      </c>
      <c r="G180" s="45">
        <v>6.0</v>
      </c>
      <c r="H180" s="54">
        <v>25.445084185747177</v>
      </c>
      <c r="I180" s="47" t="s">
        <v>39</v>
      </c>
      <c r="J180" s="39" t="str">
        <f t="shared" si="2"/>
        <v>070896 - CARLA</v>
      </c>
      <c r="K180" s="47">
        <f t="shared" si="3"/>
        <v>47.32225</v>
      </c>
      <c r="L180" s="48">
        <v>25.93</v>
      </c>
      <c r="M180" s="49">
        <f t="shared" si="4"/>
        <v>47.32225</v>
      </c>
      <c r="N180" s="39" t="s">
        <v>40</v>
      </c>
      <c r="O180" s="39" t="s">
        <v>41</v>
      </c>
      <c r="P180" s="39" t="s">
        <v>229</v>
      </c>
      <c r="Q180" s="47" t="str">
        <f t="shared" si="5"/>
        <v>50*70</v>
      </c>
      <c r="R180" s="50">
        <v>1.0</v>
      </c>
      <c r="S180" s="51">
        <v>1.0</v>
      </c>
      <c r="T180" s="51">
        <v>0.0</v>
      </c>
      <c r="U180" s="51">
        <v>0.0</v>
      </c>
      <c r="V180" s="47" t="s">
        <v>230</v>
      </c>
      <c r="W180" s="47" t="str">
        <f t="shared" si="6"/>
        <v>CHENE - 50*70 - REHAUSSE 10mm - (Largeur 15mm Profondeur 30mm)</v>
      </c>
      <c r="X180" s="50">
        <v>0.0</v>
      </c>
      <c r="Y180" s="52" t="s">
        <v>44</v>
      </c>
      <c r="Z180" s="47" t="str">
        <f t="shared" si="7"/>
        <v>CARLA CHENE+ REHAUSSE 13 50*70 VERRE</v>
      </c>
      <c r="AA180" s="39" t="s">
        <v>45</v>
      </c>
      <c r="AB180" s="39" t="s">
        <v>46</v>
      </c>
      <c r="AC180" s="47" t="str">
        <f t="shared" si="8"/>
        <v>CARLA CHENE+ REHAUSSE 13 50*70 VERRE</v>
      </c>
      <c r="AD180" s="39" t="s">
        <v>47</v>
      </c>
      <c r="AE180" s="39" t="str">
        <f t="shared" si="9"/>
        <v>EVA  50*70 CHENE VERRE REHAUSSE 10mm - CADRES GALERIE - Pas de passepartout - Dos classique sans chevalet (Largeur 15mm Profondeur 30mm)</v>
      </c>
      <c r="AF180" s="39" t="str">
        <f t="shared" si="1"/>
        <v>EVA  50*70 CHENE VERRE REHAUSSE 10mm - CADRES GALERIE - Pas de passepartout - Dos classique sans chevalet (Largeur 15mm Profondeur 30mm)</v>
      </c>
      <c r="AG180" s="53">
        <f t="shared" si="10"/>
        <v>45.80115153</v>
      </c>
      <c r="AH180" s="39"/>
      <c r="AI180" s="39"/>
      <c r="AJ180" s="39"/>
      <c r="AK180" s="39"/>
      <c r="AL180" s="39"/>
      <c r="AM180" s="39"/>
      <c r="AN180" s="39"/>
      <c r="AO180" s="39"/>
      <c r="AP180" s="39"/>
    </row>
    <row r="181" ht="15.75" customHeight="1">
      <c r="A181" s="39">
        <v>127.0</v>
      </c>
      <c r="B181" s="40" t="s">
        <v>227</v>
      </c>
      <c r="C181" s="41" t="s">
        <v>112</v>
      </c>
      <c r="D181" s="42" t="s">
        <v>265</v>
      </c>
      <c r="E181" s="43">
        <v>345707.0</v>
      </c>
      <c r="F181" s="44" t="s">
        <v>265</v>
      </c>
      <c r="G181" s="45">
        <v>1.0</v>
      </c>
      <c r="H181" s="54">
        <v>25.95398586946212</v>
      </c>
      <c r="I181" s="47" t="s">
        <v>39</v>
      </c>
      <c r="J181" s="39" t="str">
        <f t="shared" si="2"/>
        <v>054303 - CARLA</v>
      </c>
      <c r="K181" s="47">
        <f t="shared" si="3"/>
        <v>48.27125</v>
      </c>
      <c r="L181" s="48">
        <v>26.45</v>
      </c>
      <c r="M181" s="49">
        <f t="shared" si="4"/>
        <v>48.27125</v>
      </c>
      <c r="N181" s="39" t="s">
        <v>40</v>
      </c>
      <c r="O181" s="39" t="s">
        <v>41</v>
      </c>
      <c r="P181" s="39" t="s">
        <v>229</v>
      </c>
      <c r="Q181" s="47" t="str">
        <f t="shared" si="5"/>
        <v>60*60</v>
      </c>
      <c r="R181" s="50">
        <v>1.0</v>
      </c>
      <c r="S181" s="51">
        <v>1.0</v>
      </c>
      <c r="T181" s="51">
        <v>0.0</v>
      </c>
      <c r="U181" s="51">
        <v>0.0</v>
      </c>
      <c r="V181" s="47" t="s">
        <v>230</v>
      </c>
      <c r="W181" s="47" t="str">
        <f t="shared" si="6"/>
        <v>CHENE - 60*60 - REHAUSSE 10mm - (Largeur 15mm Profondeur 30mm)</v>
      </c>
      <c r="X181" s="50">
        <v>0.0</v>
      </c>
      <c r="Y181" s="52" t="s">
        <v>44</v>
      </c>
      <c r="Z181" s="47" t="str">
        <f t="shared" si="7"/>
        <v>CARLA CHENE+ REHAUSSE 13 60*60 VERRE</v>
      </c>
      <c r="AA181" s="39" t="s">
        <v>45</v>
      </c>
      <c r="AB181" s="39" t="s">
        <v>46</v>
      </c>
      <c r="AC181" s="47" t="str">
        <f t="shared" si="8"/>
        <v>CARLA CHENE+ REHAUSSE 13 60*60 VERRE</v>
      </c>
      <c r="AD181" s="39" t="s">
        <v>47</v>
      </c>
      <c r="AE181" s="39" t="str">
        <f t="shared" si="9"/>
        <v>EVA  60*60 CHENE VERRE REHAUSSE 10mm - CADRES GALERIE - Pas de passepartout - Dos classique sans chevalet (Largeur 15mm Profondeur 30mm)</v>
      </c>
      <c r="AF181" s="39" t="str">
        <f t="shared" si="1"/>
        <v>EVA  60*60 CHENE VERRE REHAUSSE 10mm - CADRES GALERIE - Pas de passepartout - Dos classique sans chevalet (Largeur 15mm Profondeur 30mm)</v>
      </c>
      <c r="AG181" s="53">
        <f t="shared" si="10"/>
        <v>46.71717457</v>
      </c>
      <c r="AH181" s="39"/>
      <c r="AI181" s="39"/>
      <c r="AJ181" s="39"/>
      <c r="AK181" s="39"/>
      <c r="AL181" s="39"/>
      <c r="AM181" s="39"/>
      <c r="AN181" s="39"/>
      <c r="AO181" s="39"/>
      <c r="AP181" s="39"/>
    </row>
    <row r="182" ht="15.75" customHeight="1">
      <c r="A182" s="39">
        <v>128.0</v>
      </c>
      <c r="B182" s="40" t="s">
        <v>227</v>
      </c>
      <c r="C182" s="41" t="s">
        <v>114</v>
      </c>
      <c r="D182" s="42" t="s">
        <v>266</v>
      </c>
      <c r="E182" s="43">
        <v>345707.0</v>
      </c>
      <c r="F182" s="44" t="s">
        <v>266</v>
      </c>
      <c r="G182" s="45">
        <v>3.0</v>
      </c>
      <c r="H182" s="54">
        <v>30.363739645067188</v>
      </c>
      <c r="I182" s="47" t="s">
        <v>39</v>
      </c>
      <c r="J182" s="39" t="str">
        <f t="shared" si="2"/>
        <v>070897 - CARLA</v>
      </c>
      <c r="K182" s="47">
        <f t="shared" si="3"/>
        <v>56.4655</v>
      </c>
      <c r="L182" s="48">
        <v>30.94</v>
      </c>
      <c r="M182" s="49">
        <f t="shared" si="4"/>
        <v>56.4655</v>
      </c>
      <c r="N182" s="39" t="s">
        <v>40</v>
      </c>
      <c r="O182" s="39" t="s">
        <v>41</v>
      </c>
      <c r="P182" s="39" t="s">
        <v>229</v>
      </c>
      <c r="Q182" s="47" t="str">
        <f t="shared" si="5"/>
        <v>60*80</v>
      </c>
      <c r="R182" s="50">
        <v>1.0</v>
      </c>
      <c r="S182" s="51">
        <v>1.0</v>
      </c>
      <c r="T182" s="51">
        <v>0.0</v>
      </c>
      <c r="U182" s="51">
        <v>0.0</v>
      </c>
      <c r="V182" s="47" t="s">
        <v>230</v>
      </c>
      <c r="W182" s="47" t="str">
        <f t="shared" si="6"/>
        <v>CHENE - 60*80 - REHAUSSE 10mm - (Largeur 15mm Profondeur 30mm)</v>
      </c>
      <c r="X182" s="50">
        <v>0.0</v>
      </c>
      <c r="Y182" s="52" t="s">
        <v>44</v>
      </c>
      <c r="Z182" s="47" t="str">
        <f t="shared" si="7"/>
        <v>CARLA CHENE+ REHAUSSE 13 60*80 VERRE</v>
      </c>
      <c r="AA182" s="39" t="s">
        <v>45</v>
      </c>
      <c r="AB182" s="39" t="s">
        <v>46</v>
      </c>
      <c r="AC182" s="47" t="str">
        <f t="shared" si="8"/>
        <v>CARLA CHENE+ REHAUSSE 13 60*80 VERRE</v>
      </c>
      <c r="AD182" s="39" t="s">
        <v>47</v>
      </c>
      <c r="AE182" s="39" t="str">
        <f t="shared" si="9"/>
        <v>EVA  60*80 CHENE VERRE REHAUSSE 10mm - CADRES GALERIE - Pas de passepartout - Dos classique sans chevalet (Largeur 15mm Profondeur 30mm)</v>
      </c>
      <c r="AF182" s="39" t="str">
        <f t="shared" si="1"/>
        <v>EVA  60*80 CHENE VERRE REHAUSSE 10mm - CADRES GALERIE - Pas de passepartout - Dos classique sans chevalet (Largeur 15mm Profondeur 30mm)</v>
      </c>
      <c r="AG182" s="53">
        <f t="shared" si="10"/>
        <v>54.65473136</v>
      </c>
      <c r="AH182" s="39"/>
      <c r="AI182" s="39"/>
      <c r="AJ182" s="39"/>
      <c r="AK182" s="39"/>
      <c r="AL182" s="39"/>
      <c r="AM182" s="39"/>
      <c r="AN182" s="39"/>
      <c r="AO182" s="39"/>
      <c r="AP182" s="39"/>
    </row>
    <row r="183" ht="15.75" customHeight="1">
      <c r="A183" s="39">
        <v>1.0</v>
      </c>
      <c r="B183" s="40" t="s">
        <v>267</v>
      </c>
      <c r="C183" s="41" t="s">
        <v>37</v>
      </c>
      <c r="D183" s="42" t="s">
        <v>268</v>
      </c>
      <c r="E183" s="43">
        <v>345707.0</v>
      </c>
      <c r="F183" s="44" t="s">
        <v>268</v>
      </c>
      <c r="G183" s="45">
        <v>6.0</v>
      </c>
      <c r="H183" s="54">
        <v>3.785581502558544</v>
      </c>
      <c r="I183" s="47" t="s">
        <v>39</v>
      </c>
      <c r="J183" s="39" t="str">
        <f t="shared" si="2"/>
        <v>072230 - CARLA</v>
      </c>
      <c r="K183" s="47">
        <f t="shared" si="3"/>
        <v>7.0445</v>
      </c>
      <c r="L183" s="48">
        <v>3.86</v>
      </c>
      <c r="M183" s="49">
        <f t="shared" si="4"/>
        <v>7.0445</v>
      </c>
      <c r="N183" s="39" t="s">
        <v>40</v>
      </c>
      <c r="O183" s="39" t="s">
        <v>41</v>
      </c>
      <c r="P183" s="39" t="s">
        <v>269</v>
      </c>
      <c r="Q183" s="47" t="str">
        <f t="shared" si="5"/>
        <v>10*15</v>
      </c>
      <c r="R183" s="50">
        <v>1.0</v>
      </c>
      <c r="S183" s="51">
        <v>1.0</v>
      </c>
      <c r="T183" s="51">
        <v>1.0</v>
      </c>
      <c r="U183" s="51">
        <v>0.0</v>
      </c>
      <c r="V183" s="47" t="s">
        <v>43</v>
      </c>
      <c r="W183" s="47" t="str">
        <f t="shared" si="6"/>
        <v>NOIR - 10*15 - REHAUSSE 13mm - (Largeur 15mm Profondeur 30mm)</v>
      </c>
      <c r="X183" s="50">
        <v>0.0</v>
      </c>
      <c r="Y183" s="52" t="s">
        <v>44</v>
      </c>
      <c r="Z183" s="47" t="str">
        <f t="shared" si="7"/>
        <v>CARLA NOIR + REHAUSSE 13 10*15 VERRE</v>
      </c>
      <c r="AA183" s="39" t="s">
        <v>45</v>
      </c>
      <c r="AB183" s="39" t="s">
        <v>46</v>
      </c>
      <c r="AC183" s="47" t="str">
        <f t="shared" si="8"/>
        <v>CARLA NOIR + REHAUSSE 13 10*15 VERRE</v>
      </c>
      <c r="AD183" s="39" t="s">
        <v>47</v>
      </c>
      <c r="AE183" s="39" t="str">
        <f t="shared" si="9"/>
        <v>EVA  10*15 NOIR VERRE REHAUSSE 13mm - CADRES GALERIE - Pas de passepartout - Dos classique sans chevalet (Largeur 15mm Profondeur 30mm)</v>
      </c>
      <c r="AF183" s="39" t="str">
        <f t="shared" si="1"/>
        <v>EVA  10*15 NOIR VERRE REHAUSSE 13mm - CADRES GALERIE - Pas de passepartout - Dos classique sans chevalet (Largeur 15mm Profondeur 30mm)</v>
      </c>
      <c r="AG183" s="53">
        <f t="shared" si="10"/>
        <v>6.814046705</v>
      </c>
      <c r="AH183" s="39"/>
      <c r="AI183" s="39"/>
      <c r="AJ183" s="39"/>
      <c r="AK183" s="39"/>
      <c r="AL183" s="39"/>
      <c r="AM183" s="39"/>
      <c r="AN183" s="39"/>
      <c r="AO183" s="39"/>
      <c r="AP183" s="39"/>
    </row>
    <row r="184" ht="15.75" customHeight="1">
      <c r="A184" s="39">
        <v>1.0</v>
      </c>
      <c r="B184" s="40" t="s">
        <v>267</v>
      </c>
      <c r="C184" s="41" t="s">
        <v>37</v>
      </c>
      <c r="D184" s="42" t="s">
        <v>270</v>
      </c>
      <c r="E184" s="43">
        <v>345707.0</v>
      </c>
      <c r="F184" s="44" t="s">
        <v>268</v>
      </c>
      <c r="G184" s="45">
        <v>6.0</v>
      </c>
      <c r="H184" s="54">
        <v>3.785581502558544</v>
      </c>
      <c r="I184" s="47" t="s">
        <v>39</v>
      </c>
      <c r="J184" s="39" t="str">
        <f t="shared" si="2"/>
        <v>072230DC - CARLA</v>
      </c>
      <c r="K184" s="47">
        <f t="shared" si="3"/>
        <v>7.0445</v>
      </c>
      <c r="L184" s="48">
        <v>3.86</v>
      </c>
      <c r="M184" s="49">
        <f t="shared" si="4"/>
        <v>7.0445</v>
      </c>
      <c r="N184" s="39" t="s">
        <v>40</v>
      </c>
      <c r="O184" s="39" t="s">
        <v>41</v>
      </c>
      <c r="P184" s="39" t="s">
        <v>269</v>
      </c>
      <c r="Q184" s="47" t="str">
        <f t="shared" si="5"/>
        <v>10*15</v>
      </c>
      <c r="R184" s="50">
        <v>1.0</v>
      </c>
      <c r="S184" s="51">
        <v>1.0</v>
      </c>
      <c r="T184" s="51">
        <v>1.0</v>
      </c>
      <c r="U184" s="51">
        <v>1.0</v>
      </c>
      <c r="V184" s="47" t="s">
        <v>43</v>
      </c>
      <c r="W184" s="47" t="str">
        <f t="shared" si="6"/>
        <v>NOIR - 10*15 - REHAUSSE 13mm - (Largeur 15mm Profondeur 30mm)</v>
      </c>
      <c r="X184" s="50">
        <v>0.0</v>
      </c>
      <c r="Y184" s="52" t="s">
        <v>44</v>
      </c>
      <c r="Z184" s="47" t="str">
        <f t="shared" si="7"/>
        <v>CARLA NOIR + REHAUSSE 13 10*15 VERRE</v>
      </c>
      <c r="AA184" s="39" t="s">
        <v>45</v>
      </c>
      <c r="AB184" s="39" t="s">
        <v>49</v>
      </c>
      <c r="AC184" s="47" t="str">
        <f t="shared" si="8"/>
        <v>CARLA NOIR + REHAUSSE 13 10*15 VERRE</v>
      </c>
      <c r="AD184" s="39" t="s">
        <v>47</v>
      </c>
      <c r="AE184" s="39" t="str">
        <f t="shared" si="9"/>
        <v>EVA  10*15 NOIR VERRE REHAUSSE 13mm - CADRES GALERIE - Pas de passepartout - DOS AVEC CHEVALET (Largeur 15mm Profondeur 30mm)</v>
      </c>
      <c r="AF184" s="39" t="str">
        <f t="shared" si="1"/>
        <v>EVA  10*15 NOIR VERRE REHAUSSE 13mm - CADRES GALERIE - Pas de passepartout - DOS AVEC CHEVALET (Largeur 15mm Profondeur 30mm)</v>
      </c>
      <c r="AG184" s="53">
        <f t="shared" si="10"/>
        <v>6.814046705</v>
      </c>
      <c r="AH184" s="39"/>
      <c r="AI184" s="39"/>
      <c r="AJ184" s="39"/>
      <c r="AK184" s="39"/>
      <c r="AL184" s="39"/>
      <c r="AM184" s="39"/>
      <c r="AN184" s="39"/>
      <c r="AO184" s="39"/>
      <c r="AP184" s="39"/>
    </row>
    <row r="185" ht="15.75" customHeight="1">
      <c r="A185" s="39">
        <v>2.0</v>
      </c>
      <c r="B185" s="40" t="s">
        <v>267</v>
      </c>
      <c r="C185" s="41" t="s">
        <v>50</v>
      </c>
      <c r="D185" s="42" t="s">
        <v>271</v>
      </c>
      <c r="E185" s="43">
        <v>345707.0</v>
      </c>
      <c r="F185" s="44" t="s">
        <v>271</v>
      </c>
      <c r="G185" s="45">
        <v>3.0</v>
      </c>
      <c r="H185" s="54">
        <v>3.4465350518313422</v>
      </c>
      <c r="I185" s="47" t="s">
        <v>39</v>
      </c>
      <c r="J185" s="39" t="str">
        <f t="shared" si="2"/>
        <v>072231 - CARLA</v>
      </c>
      <c r="K185" s="47">
        <f t="shared" si="3"/>
        <v>6.40575</v>
      </c>
      <c r="L185" s="48">
        <v>3.51</v>
      </c>
      <c r="M185" s="49">
        <f t="shared" si="4"/>
        <v>6.40575</v>
      </c>
      <c r="N185" s="39" t="s">
        <v>40</v>
      </c>
      <c r="O185" s="39" t="s">
        <v>41</v>
      </c>
      <c r="P185" s="39" t="s">
        <v>269</v>
      </c>
      <c r="Q185" s="47" t="str">
        <f t="shared" si="5"/>
        <v>11*11</v>
      </c>
      <c r="R185" s="50">
        <v>1.0</v>
      </c>
      <c r="S185" s="51">
        <v>1.0</v>
      </c>
      <c r="T185" s="51">
        <v>0.0</v>
      </c>
      <c r="U185" s="51">
        <v>0.0</v>
      </c>
      <c r="V185" s="47" t="s">
        <v>43</v>
      </c>
      <c r="W185" s="47" t="str">
        <f t="shared" si="6"/>
        <v>NOIR - 11*11 - REHAUSSE 13mm - (Largeur 15mm Profondeur 30mm)</v>
      </c>
      <c r="X185" s="50">
        <v>0.0</v>
      </c>
      <c r="Y185" s="52" t="s">
        <v>44</v>
      </c>
      <c r="Z185" s="47" t="str">
        <f t="shared" si="7"/>
        <v>CARLA NOIR + REHAUSSE 13 11*11 VERRE</v>
      </c>
      <c r="AA185" s="39" t="s">
        <v>45</v>
      </c>
      <c r="AB185" s="39" t="s">
        <v>46</v>
      </c>
      <c r="AC185" s="47" t="str">
        <f t="shared" si="8"/>
        <v>CARLA NOIR + REHAUSSE 13 11*11 VERRE</v>
      </c>
      <c r="AD185" s="39" t="s">
        <v>47</v>
      </c>
      <c r="AE185" s="39" t="str">
        <f t="shared" si="9"/>
        <v>EVA  11*11 NOIR VERRE REHAUSSE 13mm - CADRES GALERIE - Pas de passepartout - Dos classique sans chevalet (Largeur 15mm Profondeur 30mm)</v>
      </c>
      <c r="AF185" s="39" t="str">
        <f t="shared" si="1"/>
        <v>EVA  11*11 NOIR VERRE REHAUSSE 13mm - CADRES GALERIE - Pas de passepartout - Dos classique sans chevalet (Largeur 15mm Profondeur 30mm)</v>
      </c>
      <c r="AG185" s="53">
        <f t="shared" si="10"/>
        <v>6.203763093</v>
      </c>
      <c r="AH185" s="39"/>
      <c r="AI185" s="39"/>
      <c r="AJ185" s="39"/>
      <c r="AK185" s="39"/>
      <c r="AL185" s="39"/>
      <c r="AM185" s="39"/>
      <c r="AN185" s="39"/>
      <c r="AO185" s="39"/>
      <c r="AP185" s="39"/>
    </row>
    <row r="186" ht="15.75" customHeight="1">
      <c r="A186" s="39">
        <v>3.0</v>
      </c>
      <c r="B186" s="40" t="s">
        <v>267</v>
      </c>
      <c r="C186" s="41" t="s">
        <v>52</v>
      </c>
      <c r="D186" s="42" t="s">
        <v>272</v>
      </c>
      <c r="E186" s="43">
        <v>345707.0</v>
      </c>
      <c r="F186" s="44" t="s">
        <v>272</v>
      </c>
      <c r="G186" s="45">
        <v>7.0</v>
      </c>
      <c r="H186" s="54">
        <v>4.497775787838505</v>
      </c>
      <c r="I186" s="47" t="s">
        <v>39</v>
      </c>
      <c r="J186" s="39" t="str">
        <f t="shared" si="2"/>
        <v>072233 - CARLA</v>
      </c>
      <c r="K186" s="47">
        <f t="shared" si="3"/>
        <v>8.3585</v>
      </c>
      <c r="L186" s="48">
        <v>4.58</v>
      </c>
      <c r="M186" s="49">
        <f t="shared" si="4"/>
        <v>8.3585</v>
      </c>
      <c r="N186" s="39" t="s">
        <v>40</v>
      </c>
      <c r="O186" s="39" t="s">
        <v>41</v>
      </c>
      <c r="P186" s="39" t="s">
        <v>269</v>
      </c>
      <c r="Q186" s="47" t="str">
        <f t="shared" si="5"/>
        <v>13*18</v>
      </c>
      <c r="R186" s="50">
        <v>1.0</v>
      </c>
      <c r="S186" s="51">
        <v>1.0</v>
      </c>
      <c r="T186" s="51">
        <v>1.0</v>
      </c>
      <c r="U186" s="51">
        <v>0.0</v>
      </c>
      <c r="V186" s="47" t="s">
        <v>43</v>
      </c>
      <c r="W186" s="47" t="str">
        <f t="shared" si="6"/>
        <v>NOIR - 13*18 - REHAUSSE 13mm - (Largeur 15mm Profondeur 30mm)</v>
      </c>
      <c r="X186" s="50">
        <v>0.0</v>
      </c>
      <c r="Y186" s="52" t="s">
        <v>44</v>
      </c>
      <c r="Z186" s="47" t="str">
        <f t="shared" si="7"/>
        <v>CARLA NOIR + REHAUSSE 13 13*18 VERRE</v>
      </c>
      <c r="AA186" s="39" t="s">
        <v>45</v>
      </c>
      <c r="AB186" s="39" t="s">
        <v>46</v>
      </c>
      <c r="AC186" s="47" t="str">
        <f t="shared" si="8"/>
        <v>CARLA NOIR + REHAUSSE 13 13*18 VERRE</v>
      </c>
      <c r="AD186" s="39" t="s">
        <v>47</v>
      </c>
      <c r="AE186" s="39" t="str">
        <f t="shared" si="9"/>
        <v>EVA  13*18 NOIR VERRE REHAUSSE 13mm - CADRES GALERIE - Pas de passepartout - Dos classique sans chevalet (Largeur 15mm Profondeur 30mm)</v>
      </c>
      <c r="AF186" s="39" t="str">
        <f t="shared" si="1"/>
        <v>EVA  13*18 NOIR VERRE REHAUSSE 13mm - CADRES GALERIE - Pas de passepartout - Dos classique sans chevalet (Largeur 15mm Profondeur 30mm)</v>
      </c>
      <c r="AG186" s="53">
        <f t="shared" si="10"/>
        <v>8.095996418</v>
      </c>
      <c r="AH186" s="39"/>
      <c r="AI186" s="39"/>
      <c r="AJ186" s="39"/>
      <c r="AK186" s="39"/>
      <c r="AL186" s="39"/>
      <c r="AM186" s="39"/>
      <c r="AN186" s="39"/>
      <c r="AO186" s="39"/>
      <c r="AP186" s="39"/>
    </row>
    <row r="187" ht="15.75" customHeight="1">
      <c r="A187" s="39">
        <v>3.0</v>
      </c>
      <c r="B187" s="40" t="s">
        <v>267</v>
      </c>
      <c r="C187" s="41" t="s">
        <v>52</v>
      </c>
      <c r="D187" s="42" t="s">
        <v>273</v>
      </c>
      <c r="E187" s="43">
        <v>345707.0</v>
      </c>
      <c r="F187" s="44" t="s">
        <v>272</v>
      </c>
      <c r="G187" s="45">
        <v>7.0</v>
      </c>
      <c r="H187" s="54">
        <v>4.497775787838505</v>
      </c>
      <c r="I187" s="47" t="s">
        <v>39</v>
      </c>
      <c r="J187" s="39" t="str">
        <f t="shared" si="2"/>
        <v>072233DC - CARLA</v>
      </c>
      <c r="K187" s="47">
        <f t="shared" si="3"/>
        <v>8.3585</v>
      </c>
      <c r="L187" s="48">
        <v>4.58</v>
      </c>
      <c r="M187" s="49">
        <f t="shared" si="4"/>
        <v>8.3585</v>
      </c>
      <c r="N187" s="39" t="s">
        <v>40</v>
      </c>
      <c r="O187" s="39" t="s">
        <v>41</v>
      </c>
      <c r="P187" s="39" t="s">
        <v>269</v>
      </c>
      <c r="Q187" s="47" t="str">
        <f t="shared" si="5"/>
        <v>13*18</v>
      </c>
      <c r="R187" s="50">
        <v>1.0</v>
      </c>
      <c r="S187" s="51">
        <v>1.0</v>
      </c>
      <c r="T187" s="51">
        <v>1.0</v>
      </c>
      <c r="U187" s="51">
        <v>1.0</v>
      </c>
      <c r="V187" s="47" t="s">
        <v>43</v>
      </c>
      <c r="W187" s="47" t="str">
        <f t="shared" si="6"/>
        <v>NOIR - 13*18 - REHAUSSE 13mm - (Largeur 15mm Profondeur 30mm)</v>
      </c>
      <c r="X187" s="50">
        <v>0.0</v>
      </c>
      <c r="Y187" s="52" t="s">
        <v>44</v>
      </c>
      <c r="Z187" s="47" t="str">
        <f t="shared" si="7"/>
        <v>CARLA NOIR + REHAUSSE 13 13*18 VERRE</v>
      </c>
      <c r="AA187" s="39" t="s">
        <v>45</v>
      </c>
      <c r="AB187" s="39" t="s">
        <v>49</v>
      </c>
      <c r="AC187" s="47" t="str">
        <f t="shared" si="8"/>
        <v>CARLA NOIR + REHAUSSE 13 13*18 VERRE</v>
      </c>
      <c r="AD187" s="39" t="s">
        <v>47</v>
      </c>
      <c r="AE187" s="39" t="str">
        <f t="shared" si="9"/>
        <v>EVA  13*18 NOIR VERRE REHAUSSE 13mm - CADRES GALERIE - Pas de passepartout - DOS AVEC CHEVALET (Largeur 15mm Profondeur 30mm)</v>
      </c>
      <c r="AF187" s="39" t="str">
        <f t="shared" si="1"/>
        <v>EVA  13*18 NOIR VERRE REHAUSSE 13mm - CADRES GALERIE - Pas de passepartout - DOS AVEC CHEVALET (Largeur 15mm Profondeur 30mm)</v>
      </c>
      <c r="AG187" s="53">
        <f t="shared" si="10"/>
        <v>8.095996418</v>
      </c>
      <c r="AH187" s="39"/>
      <c r="AI187" s="39"/>
      <c r="AJ187" s="39"/>
      <c r="AK187" s="39"/>
      <c r="AL187" s="39"/>
      <c r="AM187" s="39"/>
      <c r="AN187" s="39"/>
      <c r="AO187" s="39"/>
      <c r="AP187" s="39"/>
    </row>
    <row r="188" ht="15.75" customHeight="1">
      <c r="A188" s="39">
        <v>4.0</v>
      </c>
      <c r="B188" s="40" t="s">
        <v>267</v>
      </c>
      <c r="C188" s="41" t="s">
        <v>55</v>
      </c>
      <c r="D188" s="42" t="s">
        <v>274</v>
      </c>
      <c r="E188" s="43">
        <v>345707.0</v>
      </c>
      <c r="F188" s="44" t="s">
        <v>274</v>
      </c>
      <c r="G188" s="45">
        <v>1.0</v>
      </c>
      <c r="H188" s="54">
        <v>4.146925011940919</v>
      </c>
      <c r="I188" s="47" t="s">
        <v>39</v>
      </c>
      <c r="J188" s="39" t="str">
        <f t="shared" si="2"/>
        <v>072235 - CARLA</v>
      </c>
      <c r="K188" s="47">
        <f t="shared" si="3"/>
        <v>7.71975</v>
      </c>
      <c r="L188" s="48">
        <v>4.23</v>
      </c>
      <c r="M188" s="49">
        <f t="shared" si="4"/>
        <v>7.71975</v>
      </c>
      <c r="N188" s="39" t="s">
        <v>40</v>
      </c>
      <c r="O188" s="39" t="s">
        <v>41</v>
      </c>
      <c r="P188" s="39" t="s">
        <v>269</v>
      </c>
      <c r="Q188" s="47" t="str">
        <f t="shared" si="5"/>
        <v>14*14</v>
      </c>
      <c r="R188" s="50">
        <v>1.0</v>
      </c>
      <c r="S188" s="51">
        <v>1.0</v>
      </c>
      <c r="T188" s="51">
        <v>0.0</v>
      </c>
      <c r="U188" s="51">
        <v>0.0</v>
      </c>
      <c r="V188" s="47" t="s">
        <v>43</v>
      </c>
      <c r="W188" s="47" t="str">
        <f t="shared" si="6"/>
        <v>NOIR - 14*14 - REHAUSSE 13mm - (Largeur 15mm Profondeur 30mm)</v>
      </c>
      <c r="X188" s="50">
        <v>0.0</v>
      </c>
      <c r="Y188" s="52" t="s">
        <v>44</v>
      </c>
      <c r="Z188" s="47" t="str">
        <f t="shared" si="7"/>
        <v>CARLA NOIR + REHAUSSE 13 14*14 VERRE</v>
      </c>
      <c r="AA188" s="39" t="s">
        <v>45</v>
      </c>
      <c r="AB188" s="39" t="s">
        <v>46</v>
      </c>
      <c r="AC188" s="47" t="str">
        <f t="shared" si="8"/>
        <v>CARLA NOIR + REHAUSSE 13 14*14 VERRE</v>
      </c>
      <c r="AD188" s="39" t="s">
        <v>47</v>
      </c>
      <c r="AE188" s="39" t="str">
        <f t="shared" si="9"/>
        <v>EVA  14*14 NOIR VERRE REHAUSSE 13mm - CADRES GALERIE - Pas de passepartout - Dos classique sans chevalet (Largeur 15mm Profondeur 30mm)</v>
      </c>
      <c r="AF188" s="39" t="str">
        <f t="shared" si="1"/>
        <v>EVA  14*14 NOIR VERRE REHAUSSE 13mm - CADRES GALERIE - Pas de passepartout - Dos classique sans chevalet (Largeur 15mm Profondeur 30mm)</v>
      </c>
      <c r="AG188" s="53">
        <f t="shared" si="10"/>
        <v>7.464465021</v>
      </c>
      <c r="AH188" s="39"/>
      <c r="AI188" s="39"/>
      <c r="AJ188" s="39"/>
      <c r="AK188" s="39"/>
      <c r="AL188" s="39"/>
      <c r="AM188" s="39"/>
      <c r="AN188" s="39"/>
      <c r="AO188" s="39"/>
      <c r="AP188" s="39"/>
    </row>
    <row r="189" ht="15.75" customHeight="1">
      <c r="A189" s="39">
        <v>5.0</v>
      </c>
      <c r="B189" s="40" t="s">
        <v>267</v>
      </c>
      <c r="C189" s="41" t="s">
        <v>57</v>
      </c>
      <c r="D189" s="42" t="s">
        <v>275</v>
      </c>
      <c r="E189" s="43">
        <v>345707.0</v>
      </c>
      <c r="F189" s="44" t="s">
        <v>275</v>
      </c>
      <c r="G189" s="45">
        <v>0.0</v>
      </c>
      <c r="H189" s="54">
        <v>5.10545</v>
      </c>
      <c r="I189" s="47" t="s">
        <v>39</v>
      </c>
      <c r="J189" s="39" t="str">
        <f t="shared" si="2"/>
        <v>054201 - CARLA</v>
      </c>
      <c r="K189" s="47">
        <f t="shared" si="3"/>
        <v>9.49</v>
      </c>
      <c r="L189" s="48">
        <v>5.2</v>
      </c>
      <c r="M189" s="49">
        <f t="shared" si="4"/>
        <v>9.49</v>
      </c>
      <c r="N189" s="39" t="s">
        <v>40</v>
      </c>
      <c r="O189" s="39" t="s">
        <v>41</v>
      </c>
      <c r="P189" s="39" t="s">
        <v>269</v>
      </c>
      <c r="Q189" s="47" t="str">
        <f t="shared" si="5"/>
        <v>15*20</v>
      </c>
      <c r="R189" s="50">
        <v>1.0</v>
      </c>
      <c r="S189" s="51">
        <v>1.0</v>
      </c>
      <c r="T189" s="51">
        <v>0.0</v>
      </c>
      <c r="U189" s="51">
        <v>0.0</v>
      </c>
      <c r="V189" s="47" t="s">
        <v>43</v>
      </c>
      <c r="W189" s="47" t="str">
        <f t="shared" si="6"/>
        <v>NOIR - 15*20 - REHAUSSE 13mm - (Largeur 15mm Profondeur 30mm)</v>
      </c>
      <c r="X189" s="50">
        <v>0.0</v>
      </c>
      <c r="Y189" s="52" t="s">
        <v>44</v>
      </c>
      <c r="Z189" s="47" t="str">
        <f t="shared" si="7"/>
        <v>CARLA NOIR + REHAUSSE 13 15*20 VERRE</v>
      </c>
      <c r="AA189" s="39" t="s">
        <v>45</v>
      </c>
      <c r="AB189" s="39" t="s">
        <v>46</v>
      </c>
      <c r="AC189" s="47" t="str">
        <f t="shared" si="8"/>
        <v>CARLA NOIR + REHAUSSE 13 15*20 VERRE</v>
      </c>
      <c r="AD189" s="39" t="s">
        <v>47</v>
      </c>
      <c r="AE189" s="39" t="str">
        <f t="shared" si="9"/>
        <v>EVA  15*20 NOIR VERRE REHAUSSE 13mm - CADRES GALERIE - Pas de passepartout - Dos classique sans chevalet (Largeur 15mm Profondeur 30mm)</v>
      </c>
      <c r="AF189" s="39" t="str">
        <f t="shared" si="1"/>
        <v>EVA  15*20 NOIR VERRE REHAUSSE 13mm - CADRES GALERIE - Pas de passepartout - Dos classique sans chevalet (Largeur 15mm Profondeur 30mm)</v>
      </c>
      <c r="AG189" s="53">
        <f t="shared" si="10"/>
        <v>9.18981</v>
      </c>
      <c r="AH189" s="39"/>
      <c r="AI189" s="39"/>
      <c r="AJ189" s="39"/>
      <c r="AK189" s="39"/>
      <c r="AL189" s="39"/>
      <c r="AM189" s="39"/>
      <c r="AN189" s="39"/>
      <c r="AO189" s="39"/>
      <c r="AP189" s="39"/>
    </row>
    <row r="190" ht="15.75" customHeight="1">
      <c r="A190" s="39">
        <v>6.0</v>
      </c>
      <c r="B190" s="40" t="s">
        <v>267</v>
      </c>
      <c r="C190" s="41" t="s">
        <v>59</v>
      </c>
      <c r="D190" s="42" t="s">
        <v>276</v>
      </c>
      <c r="E190" s="43">
        <v>345707.0</v>
      </c>
      <c r="F190" s="44" t="s">
        <v>276</v>
      </c>
      <c r="G190" s="45">
        <v>8.0</v>
      </c>
      <c r="H190" s="54">
        <v>5.105698534113389</v>
      </c>
      <c r="I190" s="47" t="s">
        <v>39</v>
      </c>
      <c r="J190" s="39" t="str">
        <f t="shared" si="2"/>
        <v>072236 - CARLA</v>
      </c>
      <c r="K190" s="47">
        <f t="shared" si="3"/>
        <v>9.49</v>
      </c>
      <c r="L190" s="48">
        <v>5.2</v>
      </c>
      <c r="M190" s="49">
        <f t="shared" si="4"/>
        <v>9.49</v>
      </c>
      <c r="N190" s="39" t="s">
        <v>40</v>
      </c>
      <c r="O190" s="39" t="s">
        <v>41</v>
      </c>
      <c r="P190" s="39" t="s">
        <v>269</v>
      </c>
      <c r="Q190" s="47" t="str">
        <f t="shared" si="5"/>
        <v>15*21</v>
      </c>
      <c r="R190" s="50">
        <v>1.0</v>
      </c>
      <c r="S190" s="51">
        <v>1.0</v>
      </c>
      <c r="T190" s="51">
        <v>1.0</v>
      </c>
      <c r="U190" s="51">
        <v>0.0</v>
      </c>
      <c r="V190" s="47" t="s">
        <v>43</v>
      </c>
      <c r="W190" s="47" t="str">
        <f t="shared" si="6"/>
        <v>NOIR - 15*21 - REHAUSSE 13mm - (Largeur 15mm Profondeur 30mm)</v>
      </c>
      <c r="X190" s="50">
        <v>0.0</v>
      </c>
      <c r="Y190" s="52" t="s">
        <v>44</v>
      </c>
      <c r="Z190" s="47" t="str">
        <f t="shared" si="7"/>
        <v>CARLA NOIR + REHAUSSE 13 15*21 VERRE</v>
      </c>
      <c r="AA190" s="39" t="s">
        <v>45</v>
      </c>
      <c r="AB190" s="39" t="s">
        <v>46</v>
      </c>
      <c r="AC190" s="47" t="str">
        <f t="shared" si="8"/>
        <v>CARLA NOIR + REHAUSSE 13 15*21 VERRE</v>
      </c>
      <c r="AD190" s="39" t="s">
        <v>47</v>
      </c>
      <c r="AE190" s="39" t="str">
        <f t="shared" si="9"/>
        <v>EVA  15*21 NOIR VERRE REHAUSSE 13mm - CADRES GALERIE - Pas de passepartout - Dos classique sans chevalet (Largeur 15mm Profondeur 30mm)</v>
      </c>
      <c r="AF190" s="39" t="str">
        <f t="shared" si="1"/>
        <v>EVA  15*21 NOIR VERRE REHAUSSE 13mm - CADRES GALERIE - Pas de passepartout - Dos classique sans chevalet (Largeur 15mm Profondeur 30mm)</v>
      </c>
      <c r="AG190" s="53">
        <f t="shared" si="10"/>
        <v>9.190257361</v>
      </c>
      <c r="AH190" s="39"/>
      <c r="AI190" s="39"/>
      <c r="AJ190" s="39"/>
      <c r="AK190" s="39"/>
      <c r="AL190" s="39"/>
      <c r="AM190" s="39"/>
      <c r="AN190" s="39"/>
      <c r="AO190" s="39"/>
      <c r="AP190" s="39"/>
    </row>
    <row r="191" ht="15.75" customHeight="1">
      <c r="A191" s="39">
        <v>6.0</v>
      </c>
      <c r="B191" s="40" t="s">
        <v>267</v>
      </c>
      <c r="C191" s="41" t="s">
        <v>59</v>
      </c>
      <c r="D191" s="42" t="s">
        <v>277</v>
      </c>
      <c r="E191" s="43">
        <v>345707.0</v>
      </c>
      <c r="F191" s="44" t="s">
        <v>276</v>
      </c>
      <c r="G191" s="45">
        <v>8.0</v>
      </c>
      <c r="H191" s="54">
        <v>5.105698534113389</v>
      </c>
      <c r="I191" s="47" t="s">
        <v>39</v>
      </c>
      <c r="J191" s="39" t="str">
        <f t="shared" si="2"/>
        <v>072236DC - CARLA</v>
      </c>
      <c r="K191" s="47">
        <f t="shared" si="3"/>
        <v>9.49</v>
      </c>
      <c r="L191" s="48">
        <v>5.2</v>
      </c>
      <c r="M191" s="49">
        <f t="shared" si="4"/>
        <v>9.49</v>
      </c>
      <c r="N191" s="39" t="s">
        <v>40</v>
      </c>
      <c r="O191" s="39" t="s">
        <v>41</v>
      </c>
      <c r="P191" s="39" t="s">
        <v>269</v>
      </c>
      <c r="Q191" s="47" t="str">
        <f t="shared" si="5"/>
        <v>15*21</v>
      </c>
      <c r="R191" s="50">
        <v>1.0</v>
      </c>
      <c r="S191" s="51">
        <v>1.0</v>
      </c>
      <c r="T191" s="51">
        <v>1.0</v>
      </c>
      <c r="U191" s="51">
        <v>1.0</v>
      </c>
      <c r="V191" s="47" t="s">
        <v>43</v>
      </c>
      <c r="W191" s="47" t="str">
        <f t="shared" si="6"/>
        <v>NOIR - 15*21 - REHAUSSE 13mm - (Largeur 15mm Profondeur 30mm)</v>
      </c>
      <c r="X191" s="50">
        <v>0.0</v>
      </c>
      <c r="Y191" s="52" t="s">
        <v>44</v>
      </c>
      <c r="Z191" s="47" t="str">
        <f t="shared" si="7"/>
        <v>CARLA NOIR + REHAUSSE 13 15*21 VERRE</v>
      </c>
      <c r="AA191" s="39" t="s">
        <v>45</v>
      </c>
      <c r="AB191" s="39" t="s">
        <v>49</v>
      </c>
      <c r="AC191" s="47" t="str">
        <f t="shared" si="8"/>
        <v>CARLA NOIR + REHAUSSE 13 15*21 VERRE</v>
      </c>
      <c r="AD191" s="39" t="s">
        <v>47</v>
      </c>
      <c r="AE191" s="39" t="str">
        <f t="shared" si="9"/>
        <v>EVA  15*21 NOIR VERRE REHAUSSE 13mm - CADRES GALERIE - Pas de passepartout - DOS AVEC CHEVALET (Largeur 15mm Profondeur 30mm)</v>
      </c>
      <c r="AF191" s="39" t="str">
        <f t="shared" si="1"/>
        <v>EVA  15*21 NOIR VERRE REHAUSSE 13mm - CADRES GALERIE - Pas de passepartout - DOS AVEC CHEVALET (Largeur 15mm Profondeur 30mm)</v>
      </c>
      <c r="AG191" s="53">
        <f t="shared" si="10"/>
        <v>9.190257361</v>
      </c>
      <c r="AH191" s="39"/>
      <c r="AI191" s="39"/>
      <c r="AJ191" s="39"/>
      <c r="AK191" s="39"/>
      <c r="AL191" s="39"/>
      <c r="AM191" s="39"/>
      <c r="AN191" s="39"/>
      <c r="AO191" s="39"/>
      <c r="AP191" s="39"/>
    </row>
    <row r="192" ht="15.75" customHeight="1">
      <c r="A192" s="39">
        <v>7.0</v>
      </c>
      <c r="B192" s="40" t="s">
        <v>267</v>
      </c>
      <c r="C192" s="41" t="s">
        <v>62</v>
      </c>
      <c r="D192" s="42" t="s">
        <v>278</v>
      </c>
      <c r="E192" s="43">
        <v>345707.0</v>
      </c>
      <c r="F192" s="44" t="s">
        <v>278</v>
      </c>
      <c r="G192" s="45">
        <v>5.0</v>
      </c>
      <c r="H192" s="54">
        <v>5.861175345018101</v>
      </c>
      <c r="I192" s="47" t="s">
        <v>39</v>
      </c>
      <c r="J192" s="39" t="str">
        <f t="shared" si="2"/>
        <v>072237 - CARLA</v>
      </c>
      <c r="K192" s="47">
        <f t="shared" si="3"/>
        <v>10.89525</v>
      </c>
      <c r="L192" s="48">
        <v>5.97</v>
      </c>
      <c r="M192" s="49">
        <f t="shared" si="4"/>
        <v>10.89525</v>
      </c>
      <c r="N192" s="39" t="s">
        <v>40</v>
      </c>
      <c r="O192" s="39" t="s">
        <v>41</v>
      </c>
      <c r="P192" s="39" t="s">
        <v>269</v>
      </c>
      <c r="Q192" s="47" t="str">
        <f t="shared" si="5"/>
        <v>18*24</v>
      </c>
      <c r="R192" s="50">
        <v>1.0</v>
      </c>
      <c r="S192" s="51">
        <v>1.0</v>
      </c>
      <c r="T192" s="51">
        <v>1.0</v>
      </c>
      <c r="U192" s="51">
        <v>0.0</v>
      </c>
      <c r="V192" s="47" t="s">
        <v>43</v>
      </c>
      <c r="W192" s="47" t="str">
        <f t="shared" si="6"/>
        <v>NOIR - 18*24 - REHAUSSE 13mm - (Largeur 15mm Profondeur 30mm)</v>
      </c>
      <c r="X192" s="50">
        <v>0.0</v>
      </c>
      <c r="Y192" s="52" t="s">
        <v>44</v>
      </c>
      <c r="Z192" s="47" t="str">
        <f t="shared" si="7"/>
        <v>CARLA NOIR + REHAUSSE 13 18*24 VERRE</v>
      </c>
      <c r="AA192" s="39" t="s">
        <v>45</v>
      </c>
      <c r="AB192" s="39" t="s">
        <v>46</v>
      </c>
      <c r="AC192" s="47" t="str">
        <f t="shared" si="8"/>
        <v>CARLA NOIR + REHAUSSE 13 18*24 VERRE</v>
      </c>
      <c r="AD192" s="39" t="s">
        <v>47</v>
      </c>
      <c r="AE192" s="39" t="str">
        <f t="shared" si="9"/>
        <v>EVA  18*24 NOIR VERRE REHAUSSE 13mm - CADRES GALERIE - Pas de passepartout - Dos classique sans chevalet (Largeur 15mm Profondeur 30mm)</v>
      </c>
      <c r="AF192" s="39" t="str">
        <f t="shared" si="1"/>
        <v>EVA  18*24 NOIR VERRE REHAUSSE 13mm - CADRES GALERIE - Pas de passepartout - Dos classique sans chevalet (Largeur 15mm Profondeur 30mm)</v>
      </c>
      <c r="AG192" s="53">
        <f t="shared" si="10"/>
        <v>10.55011562</v>
      </c>
      <c r="AH192" s="39"/>
      <c r="AI192" s="39"/>
      <c r="AJ192" s="39"/>
      <c r="AK192" s="39"/>
      <c r="AL192" s="39"/>
      <c r="AM192" s="39"/>
      <c r="AN192" s="39"/>
      <c r="AO192" s="39"/>
      <c r="AP192" s="39"/>
    </row>
    <row r="193" ht="15.75" customHeight="1">
      <c r="A193" s="39">
        <v>7.0</v>
      </c>
      <c r="B193" s="40" t="s">
        <v>267</v>
      </c>
      <c r="C193" s="41" t="s">
        <v>62</v>
      </c>
      <c r="D193" s="42" t="s">
        <v>279</v>
      </c>
      <c r="E193" s="43">
        <v>345707.0</v>
      </c>
      <c r="F193" s="44" t="s">
        <v>278</v>
      </c>
      <c r="G193" s="45">
        <v>5.0</v>
      </c>
      <c r="H193" s="54">
        <v>5.861175345018101</v>
      </c>
      <c r="I193" s="47" t="s">
        <v>39</v>
      </c>
      <c r="J193" s="39" t="str">
        <f t="shared" si="2"/>
        <v>072237DC - CARLA</v>
      </c>
      <c r="K193" s="47">
        <f t="shared" si="3"/>
        <v>10.89525</v>
      </c>
      <c r="L193" s="48">
        <v>5.97</v>
      </c>
      <c r="M193" s="49">
        <f t="shared" si="4"/>
        <v>10.89525</v>
      </c>
      <c r="N193" s="39" t="s">
        <v>40</v>
      </c>
      <c r="O193" s="39" t="s">
        <v>41</v>
      </c>
      <c r="P193" s="39" t="s">
        <v>269</v>
      </c>
      <c r="Q193" s="47" t="str">
        <f t="shared" si="5"/>
        <v>18*24</v>
      </c>
      <c r="R193" s="50">
        <v>1.0</v>
      </c>
      <c r="S193" s="51">
        <v>1.0</v>
      </c>
      <c r="T193" s="51">
        <v>1.0</v>
      </c>
      <c r="U193" s="51">
        <v>1.0</v>
      </c>
      <c r="V193" s="47" t="s">
        <v>43</v>
      </c>
      <c r="W193" s="47" t="str">
        <f t="shared" si="6"/>
        <v>NOIR - 18*24 - REHAUSSE 13mm - (Largeur 15mm Profondeur 30mm)</v>
      </c>
      <c r="X193" s="50">
        <v>0.0</v>
      </c>
      <c r="Y193" s="52" t="s">
        <v>44</v>
      </c>
      <c r="Z193" s="47" t="str">
        <f t="shared" si="7"/>
        <v>CARLA NOIR + REHAUSSE 13 18*24 VERRE</v>
      </c>
      <c r="AA193" s="39" t="s">
        <v>45</v>
      </c>
      <c r="AB193" s="39" t="s">
        <v>49</v>
      </c>
      <c r="AC193" s="47" t="str">
        <f t="shared" si="8"/>
        <v>CARLA NOIR + REHAUSSE 13 18*24 VERRE</v>
      </c>
      <c r="AD193" s="39" t="s">
        <v>47</v>
      </c>
      <c r="AE193" s="39" t="str">
        <f t="shared" si="9"/>
        <v>EVA  18*24 NOIR VERRE REHAUSSE 13mm - CADRES GALERIE - Pas de passepartout - DOS AVEC CHEVALET (Largeur 15mm Profondeur 30mm)</v>
      </c>
      <c r="AF193" s="39" t="str">
        <f t="shared" si="1"/>
        <v>EVA  18*24 NOIR VERRE REHAUSSE 13mm - CADRES GALERIE - Pas de passepartout - DOS AVEC CHEVALET (Largeur 15mm Profondeur 30mm)</v>
      </c>
      <c r="AG193" s="53">
        <f t="shared" si="10"/>
        <v>10.55011562</v>
      </c>
      <c r="AH193" s="39"/>
      <c r="AI193" s="39"/>
      <c r="AJ193" s="39"/>
      <c r="AK193" s="39"/>
      <c r="AL193" s="39"/>
      <c r="AM193" s="39"/>
      <c r="AN193" s="39"/>
      <c r="AO193" s="39"/>
      <c r="AP193" s="39"/>
    </row>
    <row r="194" ht="15.75" customHeight="1">
      <c r="A194" s="39">
        <v>8.0</v>
      </c>
      <c r="B194" s="40" t="s">
        <v>267</v>
      </c>
      <c r="C194" s="41" t="s">
        <v>65</v>
      </c>
      <c r="D194" s="42" t="s">
        <v>280</v>
      </c>
      <c r="E194" s="43">
        <v>345707.0</v>
      </c>
      <c r="F194" s="44" t="s">
        <v>280</v>
      </c>
      <c r="G194" s="45">
        <v>2.0</v>
      </c>
      <c r="H194" s="54">
        <v>7.224574902197697</v>
      </c>
      <c r="I194" s="47" t="s">
        <v>39</v>
      </c>
      <c r="J194" s="39" t="str">
        <f t="shared" si="2"/>
        <v>072238 - CARLA</v>
      </c>
      <c r="K194" s="47">
        <f t="shared" si="3"/>
        <v>13.432</v>
      </c>
      <c r="L194" s="48">
        <v>7.36</v>
      </c>
      <c r="M194" s="49">
        <f t="shared" si="4"/>
        <v>13.432</v>
      </c>
      <c r="N194" s="39" t="s">
        <v>40</v>
      </c>
      <c r="O194" s="39" t="s">
        <v>41</v>
      </c>
      <c r="P194" s="39" t="s">
        <v>269</v>
      </c>
      <c r="Q194" s="47" t="str">
        <f t="shared" si="5"/>
        <v>18*35</v>
      </c>
      <c r="R194" s="50">
        <v>1.0</v>
      </c>
      <c r="S194" s="51">
        <v>1.0</v>
      </c>
      <c r="T194" s="51">
        <v>0.0</v>
      </c>
      <c r="U194" s="51">
        <v>0.0</v>
      </c>
      <c r="V194" s="47" t="s">
        <v>43</v>
      </c>
      <c r="W194" s="47" t="str">
        <f t="shared" si="6"/>
        <v>NOIR - 18*35 - REHAUSSE 13mm - (Largeur 15mm Profondeur 30mm)</v>
      </c>
      <c r="X194" s="50">
        <v>0.0</v>
      </c>
      <c r="Y194" s="52" t="s">
        <v>44</v>
      </c>
      <c r="Z194" s="47" t="str">
        <f t="shared" si="7"/>
        <v>CARLA NOIR + REHAUSSE 13 18*35 VERRE</v>
      </c>
      <c r="AA194" s="39" t="s">
        <v>45</v>
      </c>
      <c r="AB194" s="39" t="s">
        <v>46</v>
      </c>
      <c r="AC194" s="47" t="str">
        <f t="shared" si="8"/>
        <v>CARLA NOIR + REHAUSSE 13 18*35 VERRE</v>
      </c>
      <c r="AD194" s="39" t="s">
        <v>47</v>
      </c>
      <c r="AE194" s="39" t="str">
        <f t="shared" si="9"/>
        <v>EVA  18*35 NOIR VERRE REHAUSSE 13mm - CADRES GALERIE - Pas de passepartout - Dos classique sans chevalet (Largeur 15mm Profondeur 30mm)</v>
      </c>
      <c r="AF194" s="39" t="str">
        <f t="shared" si="1"/>
        <v>EVA  18*35 NOIR VERRE REHAUSSE 13mm - CADRES GALERIE - Pas de passepartout - Dos classique sans chevalet (Largeur 15mm Profondeur 30mm)</v>
      </c>
      <c r="AG194" s="53">
        <f t="shared" si="10"/>
        <v>13.00423482</v>
      </c>
      <c r="AH194" s="39"/>
      <c r="AI194" s="39"/>
      <c r="AJ194" s="39"/>
      <c r="AK194" s="39"/>
      <c r="AL194" s="39"/>
      <c r="AM194" s="39"/>
      <c r="AN194" s="39"/>
      <c r="AO194" s="39"/>
      <c r="AP194" s="39"/>
    </row>
    <row r="195" ht="15.75" customHeight="1">
      <c r="A195" s="39">
        <v>9.0</v>
      </c>
      <c r="B195" s="40" t="s">
        <v>267</v>
      </c>
      <c r="C195" s="41" t="s">
        <v>67</v>
      </c>
      <c r="D195" s="42" t="s">
        <v>281</v>
      </c>
      <c r="E195" s="43">
        <v>345707.0</v>
      </c>
      <c r="F195" s="44" t="s">
        <v>281</v>
      </c>
      <c r="G195" s="45">
        <v>9.0</v>
      </c>
      <c r="H195" s="54">
        <v>5.6185308831823875</v>
      </c>
      <c r="I195" s="47" t="s">
        <v>39</v>
      </c>
      <c r="J195" s="39" t="str">
        <f t="shared" si="2"/>
        <v>072239 - CARLA</v>
      </c>
      <c r="K195" s="47">
        <f t="shared" si="3"/>
        <v>10.45725</v>
      </c>
      <c r="L195" s="48">
        <v>5.73</v>
      </c>
      <c r="M195" s="49">
        <f t="shared" si="4"/>
        <v>10.45725</v>
      </c>
      <c r="N195" s="39" t="s">
        <v>40</v>
      </c>
      <c r="O195" s="39" t="s">
        <v>41</v>
      </c>
      <c r="P195" s="39" t="s">
        <v>269</v>
      </c>
      <c r="Q195" s="47" t="str">
        <f t="shared" si="5"/>
        <v>20*20</v>
      </c>
      <c r="R195" s="50">
        <v>1.0</v>
      </c>
      <c r="S195" s="51">
        <v>1.0</v>
      </c>
      <c r="T195" s="51">
        <v>0.0</v>
      </c>
      <c r="U195" s="51">
        <v>0.0</v>
      </c>
      <c r="V195" s="47" t="s">
        <v>43</v>
      </c>
      <c r="W195" s="47" t="str">
        <f t="shared" si="6"/>
        <v>NOIR - 20*20 - REHAUSSE 13mm - (Largeur 15mm Profondeur 30mm)</v>
      </c>
      <c r="X195" s="50">
        <v>0.0</v>
      </c>
      <c r="Y195" s="52" t="s">
        <v>44</v>
      </c>
      <c r="Z195" s="47" t="str">
        <f t="shared" si="7"/>
        <v>CARLA NOIR + REHAUSSE 13 20*20 VERRE</v>
      </c>
      <c r="AA195" s="39" t="s">
        <v>45</v>
      </c>
      <c r="AB195" s="39" t="s">
        <v>46</v>
      </c>
      <c r="AC195" s="47" t="str">
        <f t="shared" si="8"/>
        <v>CARLA NOIR + REHAUSSE 13 20*20 VERRE</v>
      </c>
      <c r="AD195" s="39" t="s">
        <v>47</v>
      </c>
      <c r="AE195" s="39" t="str">
        <f t="shared" si="9"/>
        <v>EVA  20*20 NOIR VERRE REHAUSSE 13mm - CADRES GALERIE - Pas de passepartout - Dos classique sans chevalet (Largeur 15mm Profondeur 30mm)</v>
      </c>
      <c r="AF195" s="39" t="str">
        <f t="shared" si="1"/>
        <v>EVA  20*20 NOIR VERRE REHAUSSE 13mm - CADRES GALERIE - Pas de passepartout - Dos classique sans chevalet (Largeur 15mm Profondeur 30mm)</v>
      </c>
      <c r="AG195" s="53">
        <f t="shared" si="10"/>
        <v>10.11335559</v>
      </c>
      <c r="AH195" s="39"/>
      <c r="AI195" s="39"/>
      <c r="AJ195" s="39"/>
      <c r="AK195" s="39"/>
      <c r="AL195" s="39"/>
      <c r="AM195" s="39"/>
      <c r="AN195" s="39"/>
      <c r="AO195" s="39"/>
      <c r="AP195" s="39"/>
    </row>
    <row r="196" ht="15.75" customHeight="1">
      <c r="A196" s="39">
        <v>10.0</v>
      </c>
      <c r="B196" s="40" t="s">
        <v>267</v>
      </c>
      <c r="C196" s="41" t="s">
        <v>69</v>
      </c>
      <c r="D196" s="42" t="s">
        <v>282</v>
      </c>
      <c r="E196" s="43">
        <v>345707.0</v>
      </c>
      <c r="F196" s="44" t="s">
        <v>282</v>
      </c>
      <c r="G196" s="45">
        <v>5.0</v>
      </c>
      <c r="H196" s="54">
        <v>6.8842168597849</v>
      </c>
      <c r="I196" s="47" t="s">
        <v>39</v>
      </c>
      <c r="J196" s="39" t="str">
        <f t="shared" si="2"/>
        <v>072240 - CARLA</v>
      </c>
      <c r="K196" s="47">
        <f t="shared" si="3"/>
        <v>12.8115</v>
      </c>
      <c r="L196" s="48">
        <v>7.02</v>
      </c>
      <c r="M196" s="49">
        <f t="shared" si="4"/>
        <v>12.8115</v>
      </c>
      <c r="N196" s="39" t="s">
        <v>40</v>
      </c>
      <c r="O196" s="39" t="s">
        <v>41</v>
      </c>
      <c r="P196" s="39" t="s">
        <v>269</v>
      </c>
      <c r="Q196" s="47" t="str">
        <f t="shared" si="5"/>
        <v>20*30</v>
      </c>
      <c r="R196" s="50">
        <v>1.0</v>
      </c>
      <c r="S196" s="51">
        <v>1.0</v>
      </c>
      <c r="T196" s="51">
        <v>1.0</v>
      </c>
      <c r="U196" s="51">
        <v>0.0</v>
      </c>
      <c r="V196" s="47" t="s">
        <v>43</v>
      </c>
      <c r="W196" s="47" t="str">
        <f t="shared" si="6"/>
        <v>NOIR - 20*30 - REHAUSSE 13mm - (Largeur 15mm Profondeur 30mm)</v>
      </c>
      <c r="X196" s="50">
        <v>0.0</v>
      </c>
      <c r="Y196" s="52" t="s">
        <v>44</v>
      </c>
      <c r="Z196" s="47" t="str">
        <f t="shared" si="7"/>
        <v>CARLA NOIR + REHAUSSE 13 20*30 VERRE</v>
      </c>
      <c r="AA196" s="39" t="s">
        <v>45</v>
      </c>
      <c r="AB196" s="39" t="s">
        <v>46</v>
      </c>
      <c r="AC196" s="47" t="str">
        <f t="shared" si="8"/>
        <v>CARLA NOIR + REHAUSSE 13 20*30 VERRE</v>
      </c>
      <c r="AD196" s="39" t="s">
        <v>47</v>
      </c>
      <c r="AE196" s="39" t="str">
        <f t="shared" si="9"/>
        <v>EVA  20*30 NOIR VERRE REHAUSSE 13mm - CADRES GALERIE - Pas de passepartout - Dos classique sans chevalet (Largeur 15mm Profondeur 30mm)</v>
      </c>
      <c r="AF196" s="39" t="str">
        <f t="shared" si="1"/>
        <v>EVA  20*30 NOIR VERRE REHAUSSE 13mm - CADRES GALERIE - Pas de passepartout - Dos classique sans chevalet (Largeur 15mm Profondeur 30mm)</v>
      </c>
      <c r="AG196" s="53">
        <f t="shared" si="10"/>
        <v>12.39159035</v>
      </c>
      <c r="AH196" s="39"/>
      <c r="AI196" s="39"/>
      <c r="AJ196" s="39"/>
      <c r="AK196" s="39"/>
      <c r="AL196" s="39"/>
      <c r="AM196" s="39"/>
      <c r="AN196" s="39"/>
      <c r="AO196" s="39"/>
      <c r="AP196" s="39"/>
    </row>
    <row r="197" ht="15.75" customHeight="1">
      <c r="A197" s="39">
        <v>10.0</v>
      </c>
      <c r="B197" s="40" t="s">
        <v>267</v>
      </c>
      <c r="C197" s="41" t="s">
        <v>69</v>
      </c>
      <c r="D197" s="42" t="s">
        <v>283</v>
      </c>
      <c r="E197" s="43">
        <v>345707.0</v>
      </c>
      <c r="F197" s="44" t="s">
        <v>282</v>
      </c>
      <c r="G197" s="45">
        <v>5.0</v>
      </c>
      <c r="H197" s="54">
        <v>6.8842168597849</v>
      </c>
      <c r="I197" s="47" t="s">
        <v>39</v>
      </c>
      <c r="J197" s="39" t="str">
        <f t="shared" si="2"/>
        <v>072240DC - CARLA</v>
      </c>
      <c r="K197" s="47">
        <f t="shared" si="3"/>
        <v>12.8115</v>
      </c>
      <c r="L197" s="48">
        <v>7.02</v>
      </c>
      <c r="M197" s="49">
        <f t="shared" si="4"/>
        <v>12.8115</v>
      </c>
      <c r="N197" s="39" t="s">
        <v>40</v>
      </c>
      <c r="O197" s="39" t="s">
        <v>41</v>
      </c>
      <c r="P197" s="39" t="s">
        <v>269</v>
      </c>
      <c r="Q197" s="47" t="str">
        <f t="shared" si="5"/>
        <v>20*30</v>
      </c>
      <c r="R197" s="50">
        <v>1.0</v>
      </c>
      <c r="S197" s="51">
        <v>1.0</v>
      </c>
      <c r="T197" s="51">
        <v>1.0</v>
      </c>
      <c r="U197" s="51">
        <v>1.0</v>
      </c>
      <c r="V197" s="47" t="s">
        <v>43</v>
      </c>
      <c r="W197" s="47" t="str">
        <f t="shared" si="6"/>
        <v>NOIR - 20*30 - REHAUSSE 13mm - (Largeur 15mm Profondeur 30mm)</v>
      </c>
      <c r="X197" s="50">
        <v>0.0</v>
      </c>
      <c r="Y197" s="52" t="s">
        <v>44</v>
      </c>
      <c r="Z197" s="47" t="str">
        <f t="shared" si="7"/>
        <v>CARLA NOIR + REHAUSSE 13 20*30 VERRE</v>
      </c>
      <c r="AA197" s="39" t="s">
        <v>45</v>
      </c>
      <c r="AB197" s="39" t="s">
        <v>49</v>
      </c>
      <c r="AC197" s="47" t="str">
        <f t="shared" si="8"/>
        <v>CARLA NOIR + REHAUSSE 13 20*30 VERRE</v>
      </c>
      <c r="AD197" s="39" t="s">
        <v>47</v>
      </c>
      <c r="AE197" s="39" t="str">
        <f t="shared" si="9"/>
        <v>EVA  20*30 NOIR VERRE REHAUSSE 13mm - CADRES GALERIE - Pas de passepartout - DOS AVEC CHEVALET (Largeur 15mm Profondeur 30mm)</v>
      </c>
      <c r="AF197" s="39" t="str">
        <f t="shared" si="1"/>
        <v>EVA  20*30 NOIR VERRE REHAUSSE 13mm - CADRES GALERIE - Pas de passepartout - DOS AVEC CHEVALET (Largeur 15mm Profondeur 30mm)</v>
      </c>
      <c r="AG197" s="53">
        <f t="shared" si="10"/>
        <v>12.39159035</v>
      </c>
      <c r="AH197" s="39"/>
      <c r="AI197" s="39"/>
      <c r="AJ197" s="39"/>
      <c r="AK197" s="39"/>
      <c r="AL197" s="39"/>
      <c r="AM197" s="39"/>
      <c r="AN197" s="39"/>
      <c r="AO197" s="39"/>
      <c r="AP197" s="39"/>
    </row>
    <row r="198" ht="15.75" customHeight="1">
      <c r="A198" s="39">
        <v>11.0</v>
      </c>
      <c r="B198" s="40" t="s">
        <v>267</v>
      </c>
      <c r="C198" s="41" t="s">
        <v>72</v>
      </c>
      <c r="D198" s="42" t="s">
        <v>284</v>
      </c>
      <c r="E198" s="43">
        <v>345707.0</v>
      </c>
      <c r="F198" s="44" t="s">
        <v>284</v>
      </c>
      <c r="G198" s="45">
        <v>2.0</v>
      </c>
      <c r="H198" s="54">
        <v>9.415588812989917</v>
      </c>
      <c r="I198" s="47" t="s">
        <v>39</v>
      </c>
      <c r="J198" s="39" t="str">
        <f t="shared" si="2"/>
        <v>072241 - CARLA</v>
      </c>
      <c r="K198" s="47">
        <f t="shared" si="3"/>
        <v>17.50175</v>
      </c>
      <c r="L198" s="48">
        <v>9.59</v>
      </c>
      <c r="M198" s="49">
        <f t="shared" si="4"/>
        <v>17.50175</v>
      </c>
      <c r="N198" s="39" t="s">
        <v>40</v>
      </c>
      <c r="O198" s="39" t="s">
        <v>41</v>
      </c>
      <c r="P198" s="39" t="s">
        <v>269</v>
      </c>
      <c r="Q198" s="47" t="str">
        <f t="shared" si="5"/>
        <v>20*50</v>
      </c>
      <c r="R198" s="50">
        <v>1.0</v>
      </c>
      <c r="S198" s="51">
        <v>1.0</v>
      </c>
      <c r="T198" s="51">
        <v>0.0</v>
      </c>
      <c r="U198" s="51">
        <v>0.0</v>
      </c>
      <c r="V198" s="47" t="s">
        <v>43</v>
      </c>
      <c r="W198" s="47" t="str">
        <f t="shared" si="6"/>
        <v>NOIR - 20*50 - REHAUSSE 13mm - (Largeur 15mm Profondeur 30mm)</v>
      </c>
      <c r="X198" s="50">
        <v>0.0</v>
      </c>
      <c r="Y198" s="52" t="s">
        <v>44</v>
      </c>
      <c r="Z198" s="47" t="str">
        <f t="shared" si="7"/>
        <v>CARLA NOIR + REHAUSSE 13 20*50 VERRE</v>
      </c>
      <c r="AA198" s="39" t="s">
        <v>45</v>
      </c>
      <c r="AB198" s="39" t="s">
        <v>46</v>
      </c>
      <c r="AC198" s="47" t="str">
        <f t="shared" si="8"/>
        <v>CARLA NOIR + REHAUSSE 13 20*50 VERRE</v>
      </c>
      <c r="AD198" s="39" t="s">
        <v>47</v>
      </c>
      <c r="AE198" s="39" t="str">
        <f t="shared" si="9"/>
        <v>EVA  20*50 NOIR VERRE REHAUSSE 13mm - CADRES GALERIE - Pas de passepartout - Dos classique sans chevalet (Largeur 15mm Profondeur 30mm)</v>
      </c>
      <c r="AF198" s="39" t="str">
        <f t="shared" si="1"/>
        <v>EVA  20*50 NOIR VERRE REHAUSSE 13mm - CADRES GALERIE - Pas de passepartout - Dos classique sans chevalet (Largeur 15mm Profondeur 30mm)</v>
      </c>
      <c r="AG198" s="53">
        <f t="shared" si="10"/>
        <v>16.94805986</v>
      </c>
      <c r="AH198" s="39"/>
      <c r="AI198" s="39"/>
      <c r="AJ198" s="39"/>
      <c r="AK198" s="39"/>
      <c r="AL198" s="39"/>
      <c r="AM198" s="39"/>
      <c r="AN198" s="39"/>
      <c r="AO198" s="39"/>
      <c r="AP198" s="39"/>
    </row>
    <row r="199" ht="15.75" customHeight="1">
      <c r="A199" s="39">
        <v>12.0</v>
      </c>
      <c r="B199" s="40" t="s">
        <v>267</v>
      </c>
      <c r="C199" s="41" t="s">
        <v>74</v>
      </c>
      <c r="D199" s="42" t="s">
        <v>285</v>
      </c>
      <c r="E199" s="43">
        <v>345707.0</v>
      </c>
      <c r="F199" s="44" t="s">
        <v>285</v>
      </c>
      <c r="G199" s="45">
        <v>9.0</v>
      </c>
      <c r="H199" s="54">
        <v>10.681274789592425</v>
      </c>
      <c r="I199" s="47" t="s">
        <v>39</v>
      </c>
      <c r="J199" s="39" t="str">
        <f t="shared" si="2"/>
        <v>072242 - CARLA</v>
      </c>
      <c r="K199" s="47">
        <f t="shared" si="3"/>
        <v>19.856</v>
      </c>
      <c r="L199" s="48">
        <v>10.88</v>
      </c>
      <c r="M199" s="49">
        <f t="shared" si="4"/>
        <v>19.856</v>
      </c>
      <c r="N199" s="39" t="s">
        <v>40</v>
      </c>
      <c r="O199" s="39" t="s">
        <v>41</v>
      </c>
      <c r="P199" s="39" t="s">
        <v>269</v>
      </c>
      <c r="Q199" s="47" t="str">
        <f t="shared" si="5"/>
        <v>20*60</v>
      </c>
      <c r="R199" s="50">
        <v>1.0</v>
      </c>
      <c r="S199" s="51">
        <v>1.0</v>
      </c>
      <c r="T199" s="51">
        <v>0.0</v>
      </c>
      <c r="U199" s="51">
        <v>0.0</v>
      </c>
      <c r="V199" s="47" t="s">
        <v>43</v>
      </c>
      <c r="W199" s="47" t="str">
        <f t="shared" si="6"/>
        <v>NOIR - 20*60 - REHAUSSE 13mm - (Largeur 15mm Profondeur 30mm)</v>
      </c>
      <c r="X199" s="50">
        <v>0.0</v>
      </c>
      <c r="Y199" s="52" t="s">
        <v>44</v>
      </c>
      <c r="Z199" s="47" t="str">
        <f t="shared" si="7"/>
        <v>CARLA NOIR + REHAUSSE 13 20*60 VERRE</v>
      </c>
      <c r="AA199" s="39" t="s">
        <v>45</v>
      </c>
      <c r="AB199" s="39" t="s">
        <v>46</v>
      </c>
      <c r="AC199" s="47" t="str">
        <f t="shared" si="8"/>
        <v>CARLA NOIR + REHAUSSE 13 20*60 VERRE</v>
      </c>
      <c r="AD199" s="39" t="s">
        <v>47</v>
      </c>
      <c r="AE199" s="39" t="str">
        <f t="shared" si="9"/>
        <v>EVA  20*60 NOIR VERRE REHAUSSE 13mm - CADRES GALERIE - Pas de passepartout - Dos classique sans chevalet (Largeur 15mm Profondeur 30mm)</v>
      </c>
      <c r="AF199" s="39" t="str">
        <f t="shared" si="1"/>
        <v>EVA  20*60 NOIR VERRE REHAUSSE 13mm - CADRES GALERIE - Pas de passepartout - Dos classique sans chevalet (Largeur 15mm Profondeur 30mm)</v>
      </c>
      <c r="AG199" s="53">
        <f t="shared" si="10"/>
        <v>19.22629462</v>
      </c>
      <c r="AH199" s="39"/>
      <c r="AI199" s="39"/>
      <c r="AJ199" s="39"/>
      <c r="AK199" s="39"/>
      <c r="AL199" s="39"/>
      <c r="AM199" s="39"/>
      <c r="AN199" s="39"/>
      <c r="AO199" s="39"/>
      <c r="AP199" s="39"/>
    </row>
    <row r="200" ht="15.75" customHeight="1">
      <c r="A200" s="39">
        <v>13.0</v>
      </c>
      <c r="B200" s="40" t="s">
        <v>267</v>
      </c>
      <c r="C200" s="41" t="s">
        <v>76</v>
      </c>
      <c r="D200" s="42" t="s">
        <v>286</v>
      </c>
      <c r="E200" s="43">
        <v>345707.0</v>
      </c>
      <c r="F200" s="44" t="s">
        <v>286</v>
      </c>
      <c r="G200" s="45">
        <v>6.0</v>
      </c>
      <c r="H200" s="54">
        <v>6.985537317497378</v>
      </c>
      <c r="I200" s="47" t="s">
        <v>39</v>
      </c>
      <c r="J200" s="39" t="str">
        <f t="shared" si="2"/>
        <v>072243 - CARLA</v>
      </c>
      <c r="K200" s="47">
        <f t="shared" si="3"/>
        <v>12.994</v>
      </c>
      <c r="L200" s="48">
        <v>7.12</v>
      </c>
      <c r="M200" s="49">
        <f t="shared" si="4"/>
        <v>12.994</v>
      </c>
      <c r="N200" s="39" t="s">
        <v>40</v>
      </c>
      <c r="O200" s="39" t="s">
        <v>41</v>
      </c>
      <c r="P200" s="39" t="s">
        <v>269</v>
      </c>
      <c r="Q200" s="47" t="str">
        <f t="shared" si="5"/>
        <v>21*29,7</v>
      </c>
      <c r="R200" s="50">
        <v>1.0</v>
      </c>
      <c r="S200" s="51">
        <v>1.0</v>
      </c>
      <c r="T200" s="51">
        <v>0.0</v>
      </c>
      <c r="U200" s="51">
        <v>0.0</v>
      </c>
      <c r="V200" s="47" t="s">
        <v>43</v>
      </c>
      <c r="W200" s="47" t="str">
        <f t="shared" si="6"/>
        <v>NOIR - 21*29,7 - REHAUSSE 13mm - (Largeur 15mm Profondeur 30mm)</v>
      </c>
      <c r="X200" s="50">
        <v>0.0</v>
      </c>
      <c r="Y200" s="52" t="s">
        <v>44</v>
      </c>
      <c r="Z200" s="47" t="str">
        <f t="shared" si="7"/>
        <v>CARLA NOIR + REHAUSSE 13 21*29,7 VERRE</v>
      </c>
      <c r="AA200" s="39" t="s">
        <v>45</v>
      </c>
      <c r="AB200" s="39" t="s">
        <v>46</v>
      </c>
      <c r="AC200" s="47" t="str">
        <f t="shared" si="8"/>
        <v>CARLA NOIR + REHAUSSE 13 21*29,7 VERRE</v>
      </c>
      <c r="AD200" s="39" t="s">
        <v>47</v>
      </c>
      <c r="AE200" s="39" t="str">
        <f t="shared" si="9"/>
        <v>EVA  21*29,7 NOIR VERRE REHAUSSE 13mm - CADRES GALERIE - Pas de passepartout - Dos classique sans chevalet (Largeur 15mm Profondeur 30mm)</v>
      </c>
      <c r="AF200" s="39" t="str">
        <f t="shared" si="1"/>
        <v>EVA  21*29,7 NOIR VERRE REHAUSSE 13mm - CADRES GALERIE - Pas de passepartout - Dos classique sans chevalet (Largeur 15mm Profondeur 30mm)</v>
      </c>
      <c r="AG200" s="53">
        <f t="shared" si="10"/>
        <v>12.57396717</v>
      </c>
      <c r="AH200" s="39"/>
      <c r="AI200" s="39"/>
      <c r="AJ200" s="39"/>
      <c r="AK200" s="39"/>
      <c r="AL200" s="39"/>
      <c r="AM200" s="39"/>
      <c r="AN200" s="39"/>
      <c r="AO200" s="39"/>
      <c r="AP200" s="39"/>
    </row>
    <row r="201" ht="15.75" customHeight="1">
      <c r="A201" s="39">
        <v>14.0</v>
      </c>
      <c r="B201" s="40" t="s">
        <v>267</v>
      </c>
      <c r="C201" s="41" t="s">
        <v>78</v>
      </c>
      <c r="D201" s="42" t="s">
        <v>287</v>
      </c>
      <c r="E201" s="43">
        <v>345707.0</v>
      </c>
      <c r="F201" s="44" t="s">
        <v>287</v>
      </c>
      <c r="G201" s="45">
        <v>3.0</v>
      </c>
      <c r="H201" s="54">
        <v>9.91333785767453</v>
      </c>
      <c r="I201" s="47" t="s">
        <v>39</v>
      </c>
      <c r="J201" s="39" t="str">
        <f t="shared" si="2"/>
        <v>072244 - CARLA</v>
      </c>
      <c r="K201" s="47">
        <f t="shared" si="3"/>
        <v>18.4325</v>
      </c>
      <c r="L201" s="48">
        <v>10.1</v>
      </c>
      <c r="M201" s="49">
        <f t="shared" si="4"/>
        <v>18.4325</v>
      </c>
      <c r="N201" s="39" t="s">
        <v>40</v>
      </c>
      <c r="O201" s="39" t="s">
        <v>41</v>
      </c>
      <c r="P201" s="39" t="s">
        <v>269</v>
      </c>
      <c r="Q201" s="47" t="str">
        <f t="shared" si="5"/>
        <v>23*50</v>
      </c>
      <c r="R201" s="50">
        <v>1.0</v>
      </c>
      <c r="S201" s="51">
        <v>1.0</v>
      </c>
      <c r="T201" s="51">
        <v>0.0</v>
      </c>
      <c r="U201" s="51">
        <v>0.0</v>
      </c>
      <c r="V201" s="47" t="s">
        <v>43</v>
      </c>
      <c r="W201" s="47" t="str">
        <f t="shared" si="6"/>
        <v>NOIR - 23*50 - REHAUSSE 13mm - (Largeur 15mm Profondeur 30mm)</v>
      </c>
      <c r="X201" s="50">
        <v>0.0</v>
      </c>
      <c r="Y201" s="52" t="s">
        <v>44</v>
      </c>
      <c r="Z201" s="47" t="str">
        <f t="shared" si="7"/>
        <v>CARLA NOIR + REHAUSSE 13 23*50 VERRE</v>
      </c>
      <c r="AA201" s="39" t="s">
        <v>45</v>
      </c>
      <c r="AB201" s="39" t="s">
        <v>46</v>
      </c>
      <c r="AC201" s="47" t="str">
        <f t="shared" si="8"/>
        <v>CARLA NOIR + REHAUSSE 13 23*50 VERRE</v>
      </c>
      <c r="AD201" s="39" t="s">
        <v>47</v>
      </c>
      <c r="AE201" s="39" t="str">
        <f t="shared" si="9"/>
        <v>EVA  23*50 NOIR VERRE REHAUSSE 13mm - CADRES GALERIE - Pas de passepartout - Dos classique sans chevalet (Largeur 15mm Profondeur 30mm)</v>
      </c>
      <c r="AF201" s="39" t="str">
        <f t="shared" si="1"/>
        <v>EVA  23*50 NOIR VERRE REHAUSSE 13mm - CADRES GALERIE - Pas de passepartout - Dos classique sans chevalet (Largeur 15mm Profondeur 30mm)</v>
      </c>
      <c r="AG201" s="53">
        <f t="shared" si="10"/>
        <v>17.84400814</v>
      </c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5.75" customHeight="1">
      <c r="A202" s="39">
        <v>15.0</v>
      </c>
      <c r="B202" s="40" t="s">
        <v>267</v>
      </c>
      <c r="C202" s="41" t="s">
        <v>80</v>
      </c>
      <c r="D202" s="42" t="s">
        <v>288</v>
      </c>
      <c r="E202" s="43">
        <v>345707.0</v>
      </c>
      <c r="F202" s="44" t="s">
        <v>288</v>
      </c>
      <c r="G202" s="45">
        <v>0.0</v>
      </c>
      <c r="H202" s="54">
        <v>7.44295491784984</v>
      </c>
      <c r="I202" s="47" t="s">
        <v>39</v>
      </c>
      <c r="J202" s="39" t="str">
        <f t="shared" si="2"/>
        <v>072245 - CARLA</v>
      </c>
      <c r="K202" s="47">
        <f t="shared" si="3"/>
        <v>13.8335</v>
      </c>
      <c r="L202" s="48">
        <v>7.58</v>
      </c>
      <c r="M202" s="49">
        <f t="shared" si="4"/>
        <v>13.8335</v>
      </c>
      <c r="N202" s="39" t="s">
        <v>40</v>
      </c>
      <c r="O202" s="39" t="s">
        <v>41</v>
      </c>
      <c r="P202" s="39" t="s">
        <v>269</v>
      </c>
      <c r="Q202" s="47" t="str">
        <f t="shared" si="5"/>
        <v>24*30</v>
      </c>
      <c r="R202" s="50">
        <v>1.0</v>
      </c>
      <c r="S202" s="51">
        <v>1.0</v>
      </c>
      <c r="T202" s="51">
        <v>0.0</v>
      </c>
      <c r="U202" s="51">
        <v>0.0</v>
      </c>
      <c r="V202" s="47" t="s">
        <v>43</v>
      </c>
      <c r="W202" s="47" t="str">
        <f t="shared" si="6"/>
        <v>NOIR - 24*30 - REHAUSSE 13mm - (Largeur 15mm Profondeur 30mm)</v>
      </c>
      <c r="X202" s="50">
        <v>0.0</v>
      </c>
      <c r="Y202" s="52" t="s">
        <v>44</v>
      </c>
      <c r="Z202" s="47" t="str">
        <f t="shared" si="7"/>
        <v>CARLA NOIR + REHAUSSE 13 24*30 VERRE</v>
      </c>
      <c r="AA202" s="39" t="s">
        <v>45</v>
      </c>
      <c r="AB202" s="39" t="s">
        <v>46</v>
      </c>
      <c r="AC202" s="47" t="str">
        <f t="shared" si="8"/>
        <v>CARLA NOIR + REHAUSSE 13 24*30 VERRE</v>
      </c>
      <c r="AD202" s="39" t="s">
        <v>47</v>
      </c>
      <c r="AE202" s="39" t="str">
        <f t="shared" si="9"/>
        <v>EVA  24*30 NOIR VERRE REHAUSSE 13mm - CADRES GALERIE - Pas de passepartout - Dos classique sans chevalet (Largeur 15mm Profondeur 30mm)</v>
      </c>
      <c r="AF202" s="39" t="str">
        <f t="shared" si="1"/>
        <v>EVA  24*30 NOIR VERRE REHAUSSE 13mm - CADRES GALERIE - Pas de passepartout - Dos classique sans chevalet (Largeur 15mm Profondeur 30mm)</v>
      </c>
      <c r="AG202" s="53">
        <f t="shared" si="10"/>
        <v>13.39731885</v>
      </c>
      <c r="AH202" s="39"/>
      <c r="AI202" s="39"/>
      <c r="AJ202" s="39"/>
      <c r="AK202" s="39"/>
      <c r="AL202" s="39"/>
      <c r="AM202" s="39"/>
      <c r="AN202" s="39"/>
      <c r="AO202" s="39"/>
      <c r="AP202" s="39"/>
    </row>
    <row r="203" ht="15.75" customHeight="1">
      <c r="A203" s="39">
        <v>16.0</v>
      </c>
      <c r="B203" s="40" t="s">
        <v>267</v>
      </c>
      <c r="C203" s="41" t="s">
        <v>82</v>
      </c>
      <c r="D203" s="42" t="s">
        <v>289</v>
      </c>
      <c r="E203" s="43">
        <v>345707.0</v>
      </c>
      <c r="F203" s="44" t="s">
        <v>289</v>
      </c>
      <c r="G203" s="45">
        <v>7.0</v>
      </c>
      <c r="H203" s="54">
        <v>10.245170554130942</v>
      </c>
      <c r="I203" s="47" t="s">
        <v>39</v>
      </c>
      <c r="J203" s="39" t="str">
        <f t="shared" si="2"/>
        <v>072246 - CARLA</v>
      </c>
      <c r="K203" s="47">
        <f t="shared" si="3"/>
        <v>19.053</v>
      </c>
      <c r="L203" s="48">
        <v>10.44</v>
      </c>
      <c r="M203" s="49">
        <f t="shared" si="4"/>
        <v>19.053</v>
      </c>
      <c r="N203" s="39" t="s">
        <v>40</v>
      </c>
      <c r="O203" s="39" t="s">
        <v>41</v>
      </c>
      <c r="P203" s="39" t="s">
        <v>269</v>
      </c>
      <c r="Q203" s="47" t="str">
        <f t="shared" si="5"/>
        <v>25*50</v>
      </c>
      <c r="R203" s="50">
        <v>1.0</v>
      </c>
      <c r="S203" s="51">
        <v>1.0</v>
      </c>
      <c r="T203" s="51">
        <v>0.0</v>
      </c>
      <c r="U203" s="51">
        <v>0.0</v>
      </c>
      <c r="V203" s="47" t="s">
        <v>43</v>
      </c>
      <c r="W203" s="47" t="str">
        <f t="shared" si="6"/>
        <v>NOIR - 25*50 - REHAUSSE 13mm - (Largeur 15mm Profondeur 30mm)</v>
      </c>
      <c r="X203" s="50">
        <v>0.0</v>
      </c>
      <c r="Y203" s="52" t="s">
        <v>44</v>
      </c>
      <c r="Z203" s="47" t="str">
        <f t="shared" si="7"/>
        <v>CARLA NOIR + REHAUSSE 13 25*50 VERRE</v>
      </c>
      <c r="AA203" s="39" t="s">
        <v>45</v>
      </c>
      <c r="AB203" s="39" t="s">
        <v>46</v>
      </c>
      <c r="AC203" s="47" t="str">
        <f t="shared" si="8"/>
        <v>CARLA NOIR + REHAUSSE 13 25*50 VERRE</v>
      </c>
      <c r="AD203" s="39" t="s">
        <v>47</v>
      </c>
      <c r="AE203" s="39" t="str">
        <f t="shared" si="9"/>
        <v>EVA  25*50 NOIR VERRE REHAUSSE 13mm - CADRES GALERIE - Pas de passepartout - Dos classique sans chevalet (Largeur 15mm Profondeur 30mm)</v>
      </c>
      <c r="AF203" s="39" t="str">
        <f t="shared" si="1"/>
        <v>EVA  25*50 NOIR VERRE REHAUSSE 13mm - CADRES GALERIE - Pas de passepartout - Dos classique sans chevalet (Largeur 15mm Profondeur 30mm)</v>
      </c>
      <c r="AG203" s="53">
        <f t="shared" si="10"/>
        <v>18.441307</v>
      </c>
      <c r="AH203" s="39"/>
      <c r="AI203" s="39"/>
      <c r="AJ203" s="39"/>
      <c r="AK203" s="39"/>
      <c r="AL203" s="39"/>
      <c r="AM203" s="39"/>
      <c r="AN203" s="39"/>
      <c r="AO203" s="39"/>
      <c r="AP203" s="39"/>
    </row>
    <row r="204" ht="15.75" customHeight="1">
      <c r="A204" s="39">
        <v>17.0</v>
      </c>
      <c r="B204" s="40" t="s">
        <v>267</v>
      </c>
      <c r="C204" s="41" t="s">
        <v>84</v>
      </c>
      <c r="D204" s="42" t="s">
        <v>290</v>
      </c>
      <c r="E204" s="43">
        <v>345707.0</v>
      </c>
      <c r="F204" s="44" t="s">
        <v>290</v>
      </c>
      <c r="G204" s="45">
        <v>4.0</v>
      </c>
      <c r="H204" s="54">
        <v>9.910649094719055</v>
      </c>
      <c r="I204" s="47" t="s">
        <v>39</v>
      </c>
      <c r="J204" s="39" t="str">
        <f t="shared" si="2"/>
        <v>072247 - CARLA</v>
      </c>
      <c r="K204" s="47">
        <f t="shared" si="3"/>
        <v>18.4325</v>
      </c>
      <c r="L204" s="48">
        <v>10.1</v>
      </c>
      <c r="M204" s="49">
        <f t="shared" si="4"/>
        <v>18.4325</v>
      </c>
      <c r="N204" s="39" t="s">
        <v>40</v>
      </c>
      <c r="O204" s="39" t="s">
        <v>41</v>
      </c>
      <c r="P204" s="39" t="s">
        <v>269</v>
      </c>
      <c r="Q204" s="47" t="str">
        <f t="shared" si="5"/>
        <v>29,7*42</v>
      </c>
      <c r="R204" s="50">
        <v>1.0</v>
      </c>
      <c r="S204" s="51">
        <v>1.0</v>
      </c>
      <c r="T204" s="51">
        <v>0.0</v>
      </c>
      <c r="U204" s="51">
        <v>0.0</v>
      </c>
      <c r="V204" s="47" t="s">
        <v>43</v>
      </c>
      <c r="W204" s="47" t="str">
        <f t="shared" si="6"/>
        <v>NOIR - 29,7*42 - REHAUSSE 13mm - (Largeur 15mm Profondeur 30mm)</v>
      </c>
      <c r="X204" s="50">
        <v>0.0</v>
      </c>
      <c r="Y204" s="52" t="s">
        <v>44</v>
      </c>
      <c r="Z204" s="47" t="str">
        <f t="shared" si="7"/>
        <v>CARLA NOIR + REHAUSSE 13 29,7*42 VERRE</v>
      </c>
      <c r="AA204" s="39" t="s">
        <v>45</v>
      </c>
      <c r="AB204" s="39" t="s">
        <v>46</v>
      </c>
      <c r="AC204" s="47" t="str">
        <f t="shared" si="8"/>
        <v>CARLA NOIR + REHAUSSE 13 29,7*42 VERRE</v>
      </c>
      <c r="AD204" s="39" t="s">
        <v>47</v>
      </c>
      <c r="AE204" s="39" t="str">
        <f t="shared" si="9"/>
        <v>EVA  29,7*42 NOIR VERRE REHAUSSE 13mm - CADRES GALERIE - Pas de passepartout - Dos classique sans chevalet (Largeur 15mm Profondeur 30mm)</v>
      </c>
      <c r="AF204" s="39" t="str">
        <f t="shared" si="1"/>
        <v>EVA  29,7*42 NOIR VERRE REHAUSSE 13mm - CADRES GALERIE - Pas de passepartout - Dos classique sans chevalet (Largeur 15mm Profondeur 30mm)</v>
      </c>
      <c r="AG204" s="53">
        <f t="shared" si="10"/>
        <v>17.83916837</v>
      </c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5.75" customHeight="1">
      <c r="A205" s="39">
        <v>18.0</v>
      </c>
      <c r="B205" s="40" t="s">
        <v>267</v>
      </c>
      <c r="C205" s="41" t="s">
        <v>86</v>
      </c>
      <c r="D205" s="42" t="s">
        <v>291</v>
      </c>
      <c r="E205" s="43">
        <v>345707.0</v>
      </c>
      <c r="F205" s="44" t="s">
        <v>291</v>
      </c>
      <c r="G205" s="45">
        <v>1.0</v>
      </c>
      <c r="H205" s="54">
        <v>8.281062004947254</v>
      </c>
      <c r="I205" s="47" t="s">
        <v>39</v>
      </c>
      <c r="J205" s="39" t="str">
        <f t="shared" si="2"/>
        <v>072248 - CARLA</v>
      </c>
      <c r="K205" s="47">
        <f t="shared" si="3"/>
        <v>15.403</v>
      </c>
      <c r="L205" s="48">
        <v>8.44</v>
      </c>
      <c r="M205" s="49">
        <f t="shared" si="4"/>
        <v>15.403</v>
      </c>
      <c r="N205" s="39" t="s">
        <v>40</v>
      </c>
      <c r="O205" s="39" t="s">
        <v>41</v>
      </c>
      <c r="P205" s="39" t="s">
        <v>269</v>
      </c>
      <c r="Q205" s="47" t="str">
        <f t="shared" si="5"/>
        <v>30*30</v>
      </c>
      <c r="R205" s="50">
        <v>1.0</v>
      </c>
      <c r="S205" s="51">
        <v>1.0</v>
      </c>
      <c r="T205" s="51">
        <v>0.0</v>
      </c>
      <c r="U205" s="51">
        <v>0.0</v>
      </c>
      <c r="V205" s="47" t="s">
        <v>43</v>
      </c>
      <c r="W205" s="47" t="str">
        <f t="shared" si="6"/>
        <v>NOIR - 30*30 - REHAUSSE 13mm - (Largeur 15mm Profondeur 30mm)</v>
      </c>
      <c r="X205" s="50">
        <v>0.0</v>
      </c>
      <c r="Y205" s="52" t="s">
        <v>44</v>
      </c>
      <c r="Z205" s="47" t="str">
        <f t="shared" si="7"/>
        <v>CARLA NOIR + REHAUSSE 13 30*30 VERRE</v>
      </c>
      <c r="AA205" s="39" t="s">
        <v>45</v>
      </c>
      <c r="AB205" s="39" t="s">
        <v>46</v>
      </c>
      <c r="AC205" s="47" t="str">
        <f t="shared" si="8"/>
        <v>CARLA NOIR + REHAUSSE 13 30*30 VERRE</v>
      </c>
      <c r="AD205" s="39" t="s">
        <v>47</v>
      </c>
      <c r="AE205" s="39" t="str">
        <f t="shared" si="9"/>
        <v>EVA  30*30 NOIR VERRE REHAUSSE 13mm - CADRES GALERIE - Pas de passepartout - Dos classique sans chevalet (Largeur 15mm Profondeur 30mm)</v>
      </c>
      <c r="AF205" s="39" t="str">
        <f t="shared" si="1"/>
        <v>EVA  30*30 NOIR VERRE REHAUSSE 13mm - CADRES GALERIE - Pas de passepartout - Dos classique sans chevalet (Largeur 15mm Profondeur 30mm)</v>
      </c>
      <c r="AG205" s="53">
        <f t="shared" si="10"/>
        <v>14.90591161</v>
      </c>
      <c r="AH205" s="39"/>
      <c r="AI205" s="39"/>
      <c r="AJ205" s="39"/>
      <c r="AK205" s="39"/>
      <c r="AL205" s="39"/>
      <c r="AM205" s="39"/>
      <c r="AN205" s="39"/>
      <c r="AO205" s="39"/>
      <c r="AP205" s="39"/>
    </row>
    <row r="206" ht="15.75" customHeight="1">
      <c r="A206" s="39">
        <v>19.0</v>
      </c>
      <c r="B206" s="40" t="s">
        <v>267</v>
      </c>
      <c r="C206" s="41" t="s">
        <v>88</v>
      </c>
      <c r="D206" s="42" t="s">
        <v>292</v>
      </c>
      <c r="E206" s="43">
        <v>345707.0</v>
      </c>
      <c r="F206" s="44" t="s">
        <v>292</v>
      </c>
      <c r="G206" s="45">
        <v>8.0</v>
      </c>
      <c r="H206" s="54">
        <v>9.67790715010961</v>
      </c>
      <c r="I206" s="47" t="s">
        <v>39</v>
      </c>
      <c r="J206" s="39" t="str">
        <f t="shared" si="2"/>
        <v>072249 - CARLA</v>
      </c>
      <c r="K206" s="47">
        <f t="shared" si="3"/>
        <v>17.9945</v>
      </c>
      <c r="L206" s="48">
        <v>9.86</v>
      </c>
      <c r="M206" s="49">
        <f t="shared" si="4"/>
        <v>17.9945</v>
      </c>
      <c r="N206" s="39" t="s">
        <v>40</v>
      </c>
      <c r="O206" s="39" t="s">
        <v>41</v>
      </c>
      <c r="P206" s="39" t="s">
        <v>269</v>
      </c>
      <c r="Q206" s="47" t="str">
        <f t="shared" si="5"/>
        <v>30*40</v>
      </c>
      <c r="R206" s="50">
        <v>1.0</v>
      </c>
      <c r="S206" s="51">
        <v>1.0</v>
      </c>
      <c r="T206" s="51">
        <v>0.0</v>
      </c>
      <c r="U206" s="51">
        <v>0.0</v>
      </c>
      <c r="V206" s="47" t="s">
        <v>43</v>
      </c>
      <c r="W206" s="47" t="str">
        <f t="shared" si="6"/>
        <v>NOIR - 30*40 - REHAUSSE 13mm - (Largeur 15mm Profondeur 30mm)</v>
      </c>
      <c r="X206" s="50">
        <v>0.0</v>
      </c>
      <c r="Y206" s="52" t="s">
        <v>44</v>
      </c>
      <c r="Z206" s="47" t="str">
        <f t="shared" si="7"/>
        <v>CARLA NOIR + REHAUSSE 13 30*40 VERRE</v>
      </c>
      <c r="AA206" s="39" t="s">
        <v>45</v>
      </c>
      <c r="AB206" s="39" t="s">
        <v>46</v>
      </c>
      <c r="AC206" s="47" t="str">
        <f t="shared" si="8"/>
        <v>CARLA NOIR + REHAUSSE 13 30*40 VERRE</v>
      </c>
      <c r="AD206" s="39" t="s">
        <v>47</v>
      </c>
      <c r="AE206" s="39" t="str">
        <f t="shared" si="9"/>
        <v>EVA  30*40 NOIR VERRE REHAUSSE 13mm - CADRES GALERIE - Pas de passepartout - Dos classique sans chevalet (Largeur 15mm Profondeur 30mm)</v>
      </c>
      <c r="AF206" s="39" t="str">
        <f t="shared" si="1"/>
        <v>EVA  30*40 NOIR VERRE REHAUSSE 13mm - CADRES GALERIE - Pas de passepartout - Dos classique sans chevalet (Largeur 15mm Profondeur 30mm)</v>
      </c>
      <c r="AG206" s="53">
        <f t="shared" si="10"/>
        <v>17.42023287</v>
      </c>
      <c r="AH206" s="39"/>
      <c r="AI206" s="39"/>
      <c r="AJ206" s="39"/>
      <c r="AK206" s="39"/>
      <c r="AL206" s="39"/>
      <c r="AM206" s="39"/>
      <c r="AN206" s="39"/>
      <c r="AO206" s="39"/>
      <c r="AP206" s="39"/>
    </row>
    <row r="207" ht="15.75" customHeight="1">
      <c r="A207" s="39">
        <v>20.0</v>
      </c>
      <c r="B207" s="40" t="s">
        <v>267</v>
      </c>
      <c r="C207" s="41" t="s">
        <v>90</v>
      </c>
      <c r="D207" s="42" t="s">
        <v>293</v>
      </c>
      <c r="E207" s="43">
        <v>345707.0</v>
      </c>
      <c r="F207" s="44" t="s">
        <v>293</v>
      </c>
      <c r="G207" s="45">
        <v>4.0</v>
      </c>
      <c r="H207" s="54">
        <v>10.376329722690784</v>
      </c>
      <c r="I207" s="47" t="s">
        <v>39</v>
      </c>
      <c r="J207" s="39" t="str">
        <f t="shared" si="2"/>
        <v>072250 - CARLA</v>
      </c>
      <c r="K207" s="47">
        <f t="shared" si="3"/>
        <v>19.29025</v>
      </c>
      <c r="L207" s="48">
        <v>10.57</v>
      </c>
      <c r="M207" s="49">
        <f t="shared" si="4"/>
        <v>19.29025</v>
      </c>
      <c r="N207" s="39" t="s">
        <v>40</v>
      </c>
      <c r="O207" s="39" t="s">
        <v>41</v>
      </c>
      <c r="P207" s="39" t="s">
        <v>269</v>
      </c>
      <c r="Q207" s="47" t="str">
        <f t="shared" si="5"/>
        <v>30*45</v>
      </c>
      <c r="R207" s="50">
        <v>1.0</v>
      </c>
      <c r="S207" s="51">
        <v>1.0</v>
      </c>
      <c r="T207" s="51">
        <v>0.0</v>
      </c>
      <c r="U207" s="51">
        <v>0.0</v>
      </c>
      <c r="V207" s="47" t="s">
        <v>43</v>
      </c>
      <c r="W207" s="47" t="str">
        <f t="shared" si="6"/>
        <v>NOIR - 30*45 - REHAUSSE 13mm - (Largeur 15mm Profondeur 30mm)</v>
      </c>
      <c r="X207" s="50">
        <v>0.0</v>
      </c>
      <c r="Y207" s="52" t="s">
        <v>44</v>
      </c>
      <c r="Z207" s="47" t="str">
        <f t="shared" si="7"/>
        <v>CARLA NOIR + REHAUSSE 13 30*45 VERRE</v>
      </c>
      <c r="AA207" s="39" t="s">
        <v>45</v>
      </c>
      <c r="AB207" s="39" t="s">
        <v>46</v>
      </c>
      <c r="AC207" s="47" t="str">
        <f t="shared" si="8"/>
        <v>CARLA NOIR + REHAUSSE 13 30*45 VERRE</v>
      </c>
      <c r="AD207" s="39" t="s">
        <v>47</v>
      </c>
      <c r="AE207" s="39" t="str">
        <f t="shared" si="9"/>
        <v>EVA  30*45 NOIR VERRE REHAUSSE 13mm - CADRES GALERIE - Pas de passepartout - Dos classique sans chevalet (Largeur 15mm Profondeur 30mm)</v>
      </c>
      <c r="AF207" s="39" t="str">
        <f t="shared" si="1"/>
        <v>EVA  30*45 NOIR VERRE REHAUSSE 13mm - CADRES GALERIE - Pas de passepartout - Dos classique sans chevalet (Largeur 15mm Profondeur 30mm)</v>
      </c>
      <c r="AG207" s="53">
        <f t="shared" si="10"/>
        <v>18.6773935</v>
      </c>
      <c r="AH207" s="39"/>
      <c r="AI207" s="39"/>
      <c r="AJ207" s="39"/>
      <c r="AK207" s="39"/>
      <c r="AL207" s="39"/>
      <c r="AM207" s="39"/>
      <c r="AN207" s="39"/>
      <c r="AO207" s="39"/>
      <c r="AP207" s="39"/>
    </row>
    <row r="208" ht="15.75" customHeight="1">
      <c r="A208" s="39">
        <v>21.0</v>
      </c>
      <c r="B208" s="40" t="s">
        <v>267</v>
      </c>
      <c r="C208" s="41" t="s">
        <v>92</v>
      </c>
      <c r="D208" s="42" t="s">
        <v>294</v>
      </c>
      <c r="E208" s="43">
        <v>345707.0</v>
      </c>
      <c r="F208" s="44" t="s">
        <v>294</v>
      </c>
      <c r="G208" s="45">
        <v>1.0</v>
      </c>
      <c r="H208" s="54">
        <v>18.03536937074297</v>
      </c>
      <c r="I208" s="47" t="s">
        <v>39</v>
      </c>
      <c r="J208" s="39" t="str">
        <f t="shared" si="2"/>
        <v>072251 - CARLA</v>
      </c>
      <c r="K208" s="47">
        <f t="shared" si="3"/>
        <v>33.5435</v>
      </c>
      <c r="L208" s="48">
        <v>18.38</v>
      </c>
      <c r="M208" s="49">
        <f t="shared" si="4"/>
        <v>33.5435</v>
      </c>
      <c r="N208" s="39" t="s">
        <v>40</v>
      </c>
      <c r="O208" s="39" t="s">
        <v>41</v>
      </c>
      <c r="P208" s="39" t="s">
        <v>269</v>
      </c>
      <c r="Q208" s="47" t="str">
        <f t="shared" si="5"/>
        <v>33*95</v>
      </c>
      <c r="R208" s="50">
        <v>1.0</v>
      </c>
      <c r="S208" s="51">
        <v>1.0</v>
      </c>
      <c r="T208" s="51">
        <v>0.0</v>
      </c>
      <c r="U208" s="51">
        <v>0.0</v>
      </c>
      <c r="V208" s="47" t="s">
        <v>43</v>
      </c>
      <c r="W208" s="47" t="str">
        <f t="shared" si="6"/>
        <v>NOIR - 33*95 - REHAUSSE 13mm - (Largeur 15mm Profondeur 30mm)</v>
      </c>
      <c r="X208" s="50">
        <v>0.0</v>
      </c>
      <c r="Y208" s="52" t="s">
        <v>44</v>
      </c>
      <c r="Z208" s="47" t="str">
        <f t="shared" si="7"/>
        <v>CARLA NOIR + REHAUSSE 13 33*95 VERRE</v>
      </c>
      <c r="AA208" s="39" t="s">
        <v>45</v>
      </c>
      <c r="AB208" s="39" t="s">
        <v>46</v>
      </c>
      <c r="AC208" s="47" t="str">
        <f t="shared" si="8"/>
        <v>CARLA NOIR + REHAUSSE 13 33*95 VERRE</v>
      </c>
      <c r="AD208" s="39" t="s">
        <v>47</v>
      </c>
      <c r="AE208" s="39" t="str">
        <f t="shared" si="9"/>
        <v>EVA  33*95 NOIR VERRE REHAUSSE 13mm - CADRES GALERIE - Pas de passepartout - Dos classique sans chevalet (Largeur 15mm Profondeur 30mm)</v>
      </c>
      <c r="AF208" s="39" t="str">
        <f t="shared" si="1"/>
        <v>EVA  33*95 NOIR VERRE REHAUSSE 13mm - CADRES GALERIE - Pas de passepartout - Dos classique sans chevalet (Largeur 15mm Profondeur 30mm)</v>
      </c>
      <c r="AG208" s="53">
        <f t="shared" si="10"/>
        <v>32.46366487</v>
      </c>
      <c r="AH208" s="39"/>
      <c r="AI208" s="39"/>
      <c r="AJ208" s="39"/>
      <c r="AK208" s="39"/>
      <c r="AL208" s="39"/>
      <c r="AM208" s="39"/>
      <c r="AN208" s="39"/>
      <c r="AO208" s="39"/>
      <c r="AP208" s="39"/>
    </row>
    <row r="209" ht="15.75" customHeight="1">
      <c r="A209" s="39">
        <v>22.0</v>
      </c>
      <c r="B209" s="40" t="s">
        <v>267</v>
      </c>
      <c r="C209" s="41" t="s">
        <v>94</v>
      </c>
      <c r="D209" s="42" t="s">
        <v>295</v>
      </c>
      <c r="E209" s="43">
        <v>345707.0</v>
      </c>
      <c r="F209" s="44" t="s">
        <v>295</v>
      </c>
      <c r="G209" s="45">
        <v>8.0</v>
      </c>
      <c r="H209" s="54">
        <v>11.20591146383181</v>
      </c>
      <c r="I209" s="47" t="s">
        <v>39</v>
      </c>
      <c r="J209" s="39" t="str">
        <f t="shared" si="2"/>
        <v>072252 - CARLA</v>
      </c>
      <c r="K209" s="47">
        <f t="shared" si="3"/>
        <v>20.8415</v>
      </c>
      <c r="L209" s="48">
        <v>11.42</v>
      </c>
      <c r="M209" s="49">
        <f t="shared" si="4"/>
        <v>20.8415</v>
      </c>
      <c r="N209" s="39" t="s">
        <v>40</v>
      </c>
      <c r="O209" s="39" t="s">
        <v>41</v>
      </c>
      <c r="P209" s="39" t="s">
        <v>269</v>
      </c>
      <c r="Q209" s="47" t="str">
        <f t="shared" si="5"/>
        <v>40*40</v>
      </c>
      <c r="R209" s="50">
        <v>1.0</v>
      </c>
      <c r="S209" s="51">
        <v>1.0</v>
      </c>
      <c r="T209" s="51">
        <v>0.0</v>
      </c>
      <c r="U209" s="51">
        <v>0.0</v>
      </c>
      <c r="V209" s="47" t="s">
        <v>43</v>
      </c>
      <c r="W209" s="47" t="str">
        <f t="shared" si="6"/>
        <v>NOIR - 40*40 - REHAUSSE 13mm - (Largeur 15mm Profondeur 30mm)</v>
      </c>
      <c r="X209" s="50">
        <v>0.0</v>
      </c>
      <c r="Y209" s="52" t="s">
        <v>44</v>
      </c>
      <c r="Z209" s="47" t="str">
        <f t="shared" si="7"/>
        <v>CARLA NOIR + REHAUSSE 13 40*40 VERRE</v>
      </c>
      <c r="AA209" s="39" t="s">
        <v>45</v>
      </c>
      <c r="AB209" s="39" t="s">
        <v>46</v>
      </c>
      <c r="AC209" s="47" t="str">
        <f t="shared" si="8"/>
        <v>CARLA NOIR + REHAUSSE 13 40*40 VERRE</v>
      </c>
      <c r="AD209" s="39" t="s">
        <v>47</v>
      </c>
      <c r="AE209" s="39" t="str">
        <f t="shared" si="9"/>
        <v>EVA  40*40 NOIR VERRE REHAUSSE 13mm - CADRES GALERIE - Pas de passepartout - Dos classique sans chevalet (Largeur 15mm Profondeur 30mm)</v>
      </c>
      <c r="AF209" s="39" t="str">
        <f t="shared" si="1"/>
        <v>EVA  40*40 NOIR VERRE REHAUSSE 13mm - CADRES GALERIE - Pas de passepartout - Dos classique sans chevalet (Largeur 15mm Profondeur 30mm)</v>
      </c>
      <c r="AG209" s="53">
        <f t="shared" si="10"/>
        <v>20.17064063</v>
      </c>
      <c r="AH209" s="39"/>
      <c r="AI209" s="39"/>
      <c r="AJ209" s="39"/>
      <c r="AK209" s="39"/>
      <c r="AL209" s="39"/>
      <c r="AM209" s="39"/>
      <c r="AN209" s="39"/>
      <c r="AO209" s="39"/>
      <c r="AP209" s="39"/>
    </row>
    <row r="210" ht="15.75" customHeight="1">
      <c r="A210" s="39">
        <v>23.0</v>
      </c>
      <c r="B210" s="40" t="s">
        <v>267</v>
      </c>
      <c r="C210" s="41" t="s">
        <v>96</v>
      </c>
      <c r="D210" s="42" t="s">
        <v>296</v>
      </c>
      <c r="E210" s="43">
        <v>345707.0</v>
      </c>
      <c r="F210" s="44" t="s">
        <v>296</v>
      </c>
      <c r="G210" s="45">
        <v>5.0</v>
      </c>
      <c r="H210" s="54">
        <v>12.733915777554012</v>
      </c>
      <c r="I210" s="47" t="s">
        <v>39</v>
      </c>
      <c r="J210" s="39" t="str">
        <f t="shared" si="2"/>
        <v>072253 - CARLA</v>
      </c>
      <c r="K210" s="47">
        <f t="shared" si="3"/>
        <v>23.6885</v>
      </c>
      <c r="L210" s="48">
        <v>12.98</v>
      </c>
      <c r="M210" s="49">
        <f t="shared" si="4"/>
        <v>23.6885</v>
      </c>
      <c r="N210" s="39" t="s">
        <v>40</v>
      </c>
      <c r="O210" s="39" t="s">
        <v>41</v>
      </c>
      <c r="P210" s="39" t="s">
        <v>269</v>
      </c>
      <c r="Q210" s="47" t="str">
        <f t="shared" si="5"/>
        <v>40*50</v>
      </c>
      <c r="R210" s="50">
        <v>1.0</v>
      </c>
      <c r="S210" s="51">
        <v>1.0</v>
      </c>
      <c r="T210" s="51">
        <v>0.0</v>
      </c>
      <c r="U210" s="51">
        <v>0.0</v>
      </c>
      <c r="V210" s="47" t="s">
        <v>43</v>
      </c>
      <c r="W210" s="47" t="str">
        <f t="shared" si="6"/>
        <v>NOIR - 40*50 - REHAUSSE 13mm - (Largeur 15mm Profondeur 30mm)</v>
      </c>
      <c r="X210" s="50">
        <v>0.0</v>
      </c>
      <c r="Y210" s="52" t="s">
        <v>44</v>
      </c>
      <c r="Z210" s="47" t="str">
        <f t="shared" si="7"/>
        <v>CARLA NOIR + REHAUSSE 13 40*50 VERRE</v>
      </c>
      <c r="AA210" s="39" t="s">
        <v>45</v>
      </c>
      <c r="AB210" s="39" t="s">
        <v>46</v>
      </c>
      <c r="AC210" s="47" t="str">
        <f t="shared" si="8"/>
        <v>CARLA NOIR + REHAUSSE 13 40*50 VERRE</v>
      </c>
      <c r="AD210" s="39" t="s">
        <v>47</v>
      </c>
      <c r="AE210" s="39" t="str">
        <f t="shared" si="9"/>
        <v>EVA  40*50 NOIR VERRE REHAUSSE 13mm - CADRES GALERIE - Pas de passepartout - Dos classique sans chevalet (Largeur 15mm Profondeur 30mm)</v>
      </c>
      <c r="AF210" s="39" t="str">
        <f t="shared" si="1"/>
        <v>EVA  40*50 NOIR VERRE REHAUSSE 13mm - CADRES GALERIE - Pas de passepartout - Dos classique sans chevalet (Largeur 15mm Profondeur 30mm)</v>
      </c>
      <c r="AG210" s="53">
        <f t="shared" si="10"/>
        <v>22.9210484</v>
      </c>
      <c r="AH210" s="39"/>
      <c r="AI210" s="39"/>
      <c r="AJ210" s="39"/>
      <c r="AK210" s="39"/>
      <c r="AL210" s="39"/>
      <c r="AM210" s="39"/>
      <c r="AN210" s="39"/>
      <c r="AO210" s="39"/>
      <c r="AP210" s="39"/>
    </row>
    <row r="211" ht="15.75" customHeight="1">
      <c r="A211" s="39">
        <v>24.0</v>
      </c>
      <c r="B211" s="40" t="s">
        <v>267</v>
      </c>
      <c r="C211" s="41" t="s">
        <v>98</v>
      </c>
      <c r="D211" s="42" t="s">
        <v>297</v>
      </c>
      <c r="E211" s="43">
        <v>345707.0</v>
      </c>
      <c r="F211" s="44" t="s">
        <v>297</v>
      </c>
      <c r="G211" s="45">
        <v>2.0</v>
      </c>
      <c r="H211" s="54">
        <v>14.261920091276211</v>
      </c>
      <c r="I211" s="47" t="s">
        <v>39</v>
      </c>
      <c r="J211" s="39" t="str">
        <f t="shared" si="2"/>
        <v>072254 - CARLA</v>
      </c>
      <c r="K211" s="47">
        <f t="shared" si="3"/>
        <v>26.51725</v>
      </c>
      <c r="L211" s="48">
        <v>14.53</v>
      </c>
      <c r="M211" s="49">
        <f t="shared" si="4"/>
        <v>26.51725</v>
      </c>
      <c r="N211" s="39" t="s">
        <v>40</v>
      </c>
      <c r="O211" s="39" t="s">
        <v>41</v>
      </c>
      <c r="P211" s="39" t="s">
        <v>269</v>
      </c>
      <c r="Q211" s="47" t="str">
        <f t="shared" si="5"/>
        <v>40*60</v>
      </c>
      <c r="R211" s="50">
        <v>1.0</v>
      </c>
      <c r="S211" s="51">
        <v>1.0</v>
      </c>
      <c r="T211" s="51">
        <v>0.0</v>
      </c>
      <c r="U211" s="51">
        <v>0.0</v>
      </c>
      <c r="V211" s="47" t="s">
        <v>43</v>
      </c>
      <c r="W211" s="47" t="str">
        <f t="shared" si="6"/>
        <v>NOIR - 40*60 - REHAUSSE 13mm - (Largeur 15mm Profondeur 30mm)</v>
      </c>
      <c r="X211" s="50">
        <v>0.0</v>
      </c>
      <c r="Y211" s="52" t="s">
        <v>44</v>
      </c>
      <c r="Z211" s="47" t="str">
        <f t="shared" si="7"/>
        <v>CARLA NOIR + REHAUSSE 13 40*60 VERRE</v>
      </c>
      <c r="AA211" s="39" t="s">
        <v>45</v>
      </c>
      <c r="AB211" s="39" t="s">
        <v>46</v>
      </c>
      <c r="AC211" s="47" t="str">
        <f t="shared" si="8"/>
        <v>CARLA NOIR + REHAUSSE 13 40*60 VERRE</v>
      </c>
      <c r="AD211" s="39" t="s">
        <v>47</v>
      </c>
      <c r="AE211" s="39" t="str">
        <f t="shared" si="9"/>
        <v>EVA  40*60 NOIR VERRE REHAUSSE 13mm - CADRES GALERIE - Pas de passepartout - Dos classique sans chevalet (Largeur 15mm Profondeur 30mm)</v>
      </c>
      <c r="AF211" s="39" t="str">
        <f t="shared" si="1"/>
        <v>EVA  40*60 NOIR VERRE REHAUSSE 13mm - CADRES GALERIE - Pas de passepartout - Dos classique sans chevalet (Largeur 15mm Profondeur 30mm)</v>
      </c>
      <c r="AG211" s="53">
        <f t="shared" si="10"/>
        <v>25.67145616</v>
      </c>
      <c r="AH211" s="39"/>
      <c r="AI211" s="39"/>
      <c r="AJ211" s="39"/>
      <c r="AK211" s="39"/>
      <c r="AL211" s="39"/>
      <c r="AM211" s="39"/>
      <c r="AN211" s="39"/>
      <c r="AO211" s="39"/>
      <c r="AP211" s="39"/>
    </row>
    <row r="212" ht="15.75" customHeight="1">
      <c r="A212" s="39">
        <v>25.0</v>
      </c>
      <c r="B212" s="40" t="s">
        <v>267</v>
      </c>
      <c r="C212" s="41" t="s">
        <v>100</v>
      </c>
      <c r="D212" s="42" t="s">
        <v>298</v>
      </c>
      <c r="E212" s="43">
        <v>345707.0</v>
      </c>
      <c r="F212" s="44" t="s">
        <v>298</v>
      </c>
      <c r="G212" s="45">
        <v>5.0</v>
      </c>
      <c r="H212" s="54">
        <v>14.670132525562499</v>
      </c>
      <c r="I212" s="47" t="s">
        <v>39</v>
      </c>
      <c r="J212" s="39" t="str">
        <f t="shared" si="2"/>
        <v>068140 - CARLA</v>
      </c>
      <c r="K212" s="47">
        <f t="shared" si="3"/>
        <v>27.28375</v>
      </c>
      <c r="L212" s="48">
        <v>14.95</v>
      </c>
      <c r="M212" s="49">
        <f t="shared" si="4"/>
        <v>27.28375</v>
      </c>
      <c r="N212" s="39" t="s">
        <v>40</v>
      </c>
      <c r="O212" s="39" t="s">
        <v>41</v>
      </c>
      <c r="P212" s="39" t="s">
        <v>269</v>
      </c>
      <c r="Q212" s="47" t="str">
        <f t="shared" si="5"/>
        <v>42*59,4</v>
      </c>
      <c r="R212" s="50">
        <v>1.0</v>
      </c>
      <c r="S212" s="51">
        <v>1.0</v>
      </c>
      <c r="T212" s="51">
        <v>0.0</v>
      </c>
      <c r="U212" s="51">
        <v>0.0</v>
      </c>
      <c r="V212" s="47" t="s">
        <v>43</v>
      </c>
      <c r="W212" s="47" t="str">
        <f t="shared" si="6"/>
        <v>NOIR - 42*59,4 - REHAUSSE 13mm - (Largeur 15mm Profondeur 30mm)</v>
      </c>
      <c r="X212" s="50">
        <v>0.0</v>
      </c>
      <c r="Y212" s="52" t="s">
        <v>44</v>
      </c>
      <c r="Z212" s="47" t="str">
        <f t="shared" si="7"/>
        <v>CARLA NOIR + REHAUSSE 13 42*59,4 VERRE</v>
      </c>
      <c r="AA212" s="39" t="s">
        <v>45</v>
      </c>
      <c r="AB212" s="39" t="s">
        <v>46</v>
      </c>
      <c r="AC212" s="47" t="str">
        <f t="shared" si="8"/>
        <v>CARLA NOIR + REHAUSSE 13 42*59,4 VERRE</v>
      </c>
      <c r="AD212" s="39" t="s">
        <v>47</v>
      </c>
      <c r="AE212" s="39" t="str">
        <f t="shared" si="9"/>
        <v>EVA  42*59,4 NOIR VERRE REHAUSSE 13mm - CADRES GALERIE - Pas de passepartout - Dos classique sans chevalet (Largeur 15mm Profondeur 30mm)</v>
      </c>
      <c r="AF212" s="39" t="str">
        <f t="shared" si="1"/>
        <v>EVA  42*59,4 NOIR VERRE REHAUSSE 13mm - CADRES GALERIE - Pas de passepartout - Dos classique sans chevalet (Largeur 15mm Profondeur 30mm)</v>
      </c>
      <c r="AG212" s="53">
        <f t="shared" si="10"/>
        <v>26.40623855</v>
      </c>
      <c r="AH212" s="39"/>
      <c r="AI212" s="39"/>
      <c r="AJ212" s="39"/>
      <c r="AK212" s="39"/>
      <c r="AL212" s="39"/>
      <c r="AM212" s="39"/>
      <c r="AN212" s="39"/>
      <c r="AO212" s="39"/>
      <c r="AP212" s="39"/>
    </row>
    <row r="213" ht="15.75" customHeight="1">
      <c r="A213" s="39">
        <v>26.0</v>
      </c>
      <c r="B213" s="40" t="s">
        <v>267</v>
      </c>
      <c r="C213" s="41" t="s">
        <v>102</v>
      </c>
      <c r="D213" s="42" t="s">
        <v>299</v>
      </c>
      <c r="E213" s="43">
        <v>345707.0</v>
      </c>
      <c r="F213" s="44" t="s">
        <v>299</v>
      </c>
      <c r="G213" s="45">
        <v>9.0</v>
      </c>
      <c r="H213" s="54">
        <v>15.496783663267163</v>
      </c>
      <c r="I213" s="47" t="s">
        <v>39</v>
      </c>
      <c r="J213" s="39" t="str">
        <f t="shared" si="2"/>
        <v>072255 - CARLA</v>
      </c>
      <c r="K213" s="47">
        <f t="shared" si="3"/>
        <v>28.81675</v>
      </c>
      <c r="L213" s="48">
        <v>15.79</v>
      </c>
      <c r="M213" s="49">
        <f t="shared" si="4"/>
        <v>28.81675</v>
      </c>
      <c r="N213" s="39" t="s">
        <v>40</v>
      </c>
      <c r="O213" s="39" t="s">
        <v>41</v>
      </c>
      <c r="P213" s="39" t="s">
        <v>269</v>
      </c>
      <c r="Q213" s="47" t="str">
        <f t="shared" si="5"/>
        <v>46*61</v>
      </c>
      <c r="R213" s="50">
        <v>1.0</v>
      </c>
      <c r="S213" s="51">
        <v>1.0</v>
      </c>
      <c r="T213" s="51">
        <v>0.0</v>
      </c>
      <c r="U213" s="51">
        <v>0.0</v>
      </c>
      <c r="V213" s="47" t="s">
        <v>43</v>
      </c>
      <c r="W213" s="47" t="str">
        <f t="shared" si="6"/>
        <v>NOIR - 46*61 - REHAUSSE 13mm - (Largeur 15mm Profondeur 30mm)</v>
      </c>
      <c r="X213" s="50">
        <v>0.0</v>
      </c>
      <c r="Y213" s="52" t="s">
        <v>44</v>
      </c>
      <c r="Z213" s="47" t="str">
        <f t="shared" si="7"/>
        <v>CARLA NOIR + REHAUSSE 13 46*61 VERRE</v>
      </c>
      <c r="AA213" s="39" t="s">
        <v>45</v>
      </c>
      <c r="AB213" s="39" t="s">
        <v>46</v>
      </c>
      <c r="AC213" s="47" t="str">
        <f t="shared" si="8"/>
        <v>CARLA NOIR + REHAUSSE 13 46*61 VERRE</v>
      </c>
      <c r="AD213" s="39" t="s">
        <v>47</v>
      </c>
      <c r="AE213" s="39" t="str">
        <f t="shared" si="9"/>
        <v>EVA  46*61 NOIR VERRE REHAUSSE 13mm - CADRES GALERIE - Pas de passepartout - Dos classique sans chevalet (Largeur 15mm Profondeur 30mm)</v>
      </c>
      <c r="AF213" s="39" t="str">
        <f t="shared" si="1"/>
        <v>EVA  46*61 NOIR VERRE REHAUSSE 13mm - CADRES GALERIE - Pas de passepartout - Dos classique sans chevalet (Largeur 15mm Profondeur 30mm)</v>
      </c>
      <c r="AG213" s="53">
        <f t="shared" si="10"/>
        <v>27.89421059</v>
      </c>
      <c r="AH213" s="39"/>
      <c r="AI213" s="39"/>
      <c r="AJ213" s="39"/>
      <c r="AK213" s="39"/>
      <c r="AL213" s="39"/>
      <c r="AM213" s="39"/>
      <c r="AN213" s="39"/>
      <c r="AO213" s="39"/>
      <c r="AP213" s="39"/>
    </row>
    <row r="214" ht="15.75" customHeight="1">
      <c r="A214" s="39">
        <v>27.0</v>
      </c>
      <c r="B214" s="40" t="s">
        <v>267</v>
      </c>
      <c r="C214" s="41" t="s">
        <v>104</v>
      </c>
      <c r="D214" s="42" t="s">
        <v>300</v>
      </c>
      <c r="E214" s="43">
        <v>345707.0</v>
      </c>
      <c r="F214" s="44" t="s">
        <v>300</v>
      </c>
      <c r="G214" s="45">
        <v>6.0</v>
      </c>
      <c r="H214" s="54">
        <v>14.39307925983606</v>
      </c>
      <c r="I214" s="47" t="s">
        <v>39</v>
      </c>
      <c r="J214" s="39" t="str">
        <f t="shared" si="2"/>
        <v>072256 - CARLA</v>
      </c>
      <c r="K214" s="47">
        <f t="shared" si="3"/>
        <v>26.77275</v>
      </c>
      <c r="L214" s="48">
        <v>14.67</v>
      </c>
      <c r="M214" s="49">
        <f t="shared" si="4"/>
        <v>26.77275</v>
      </c>
      <c r="N214" s="39" t="s">
        <v>40</v>
      </c>
      <c r="O214" s="39" t="s">
        <v>41</v>
      </c>
      <c r="P214" s="39" t="s">
        <v>269</v>
      </c>
      <c r="Q214" s="47" t="str">
        <f t="shared" si="5"/>
        <v>50*50</v>
      </c>
      <c r="R214" s="50">
        <v>1.0</v>
      </c>
      <c r="S214" s="51">
        <v>1.0</v>
      </c>
      <c r="T214" s="51">
        <v>0.0</v>
      </c>
      <c r="U214" s="51">
        <v>0.0</v>
      </c>
      <c r="V214" s="47" t="s">
        <v>43</v>
      </c>
      <c r="W214" s="47" t="str">
        <f t="shared" si="6"/>
        <v>NOIR - 50*50 - REHAUSSE 13mm - (Largeur 15mm Profondeur 30mm)</v>
      </c>
      <c r="X214" s="50">
        <v>0.0</v>
      </c>
      <c r="Y214" s="52" t="s">
        <v>44</v>
      </c>
      <c r="Z214" s="47" t="str">
        <f t="shared" si="7"/>
        <v>CARLA NOIR + REHAUSSE 13 50*50 VERRE</v>
      </c>
      <c r="AA214" s="39" t="s">
        <v>45</v>
      </c>
      <c r="AB214" s="39" t="s">
        <v>46</v>
      </c>
      <c r="AC214" s="47" t="str">
        <f t="shared" si="8"/>
        <v>CARLA NOIR + REHAUSSE 13 50*50 VERRE</v>
      </c>
      <c r="AD214" s="39" t="s">
        <v>47</v>
      </c>
      <c r="AE214" s="39" t="str">
        <f t="shared" si="9"/>
        <v>EVA  50*50 NOIR VERRE REHAUSSE 13mm - CADRES GALERIE - Pas de passepartout - Dos classique sans chevalet (Largeur 15mm Profondeur 30mm)</v>
      </c>
      <c r="AF214" s="39" t="str">
        <f t="shared" si="1"/>
        <v>EVA  50*50 NOIR VERRE REHAUSSE 13mm - CADRES GALERIE - Pas de passepartout - Dos classique sans chevalet (Largeur 15mm Profondeur 30mm)</v>
      </c>
      <c r="AG214" s="53">
        <f t="shared" si="10"/>
        <v>25.90754267</v>
      </c>
      <c r="AH214" s="39"/>
      <c r="AI214" s="39"/>
      <c r="AJ214" s="39"/>
      <c r="AK214" s="39"/>
      <c r="AL214" s="39"/>
      <c r="AM214" s="39"/>
      <c r="AN214" s="39"/>
      <c r="AO214" s="39"/>
      <c r="AP214" s="39"/>
    </row>
    <row r="215" ht="15.75" customHeight="1">
      <c r="A215" s="39">
        <v>28.0</v>
      </c>
      <c r="B215" s="40" t="s">
        <v>267</v>
      </c>
      <c r="C215" s="41" t="s">
        <v>106</v>
      </c>
      <c r="D215" s="42" t="s">
        <v>301</v>
      </c>
      <c r="E215" s="43">
        <v>345707.0</v>
      </c>
      <c r="F215" s="44" t="s">
        <v>301</v>
      </c>
      <c r="G215" s="45">
        <v>3.0</v>
      </c>
      <c r="H215" s="54">
        <v>16.052242742118107</v>
      </c>
      <c r="I215" s="47" t="s">
        <v>39</v>
      </c>
      <c r="J215" s="39" t="str">
        <f t="shared" si="2"/>
        <v>072257 - CARLA</v>
      </c>
      <c r="K215" s="47">
        <f t="shared" si="3"/>
        <v>29.857</v>
      </c>
      <c r="L215" s="48">
        <v>16.36</v>
      </c>
      <c r="M215" s="49">
        <f t="shared" si="4"/>
        <v>29.857</v>
      </c>
      <c r="N215" s="39" t="s">
        <v>40</v>
      </c>
      <c r="O215" s="39" t="s">
        <v>41</v>
      </c>
      <c r="P215" s="39" t="s">
        <v>269</v>
      </c>
      <c r="Q215" s="47" t="str">
        <f t="shared" si="5"/>
        <v>50*60</v>
      </c>
      <c r="R215" s="50">
        <v>1.0</v>
      </c>
      <c r="S215" s="51">
        <v>1.0</v>
      </c>
      <c r="T215" s="51">
        <v>0.0</v>
      </c>
      <c r="U215" s="51">
        <v>0.0</v>
      </c>
      <c r="V215" s="47" t="s">
        <v>43</v>
      </c>
      <c r="W215" s="47" t="str">
        <f t="shared" si="6"/>
        <v>NOIR - 50*60 - REHAUSSE 13mm - (Largeur 15mm Profondeur 30mm)</v>
      </c>
      <c r="X215" s="50">
        <v>0.0</v>
      </c>
      <c r="Y215" s="52" t="s">
        <v>44</v>
      </c>
      <c r="Z215" s="47" t="str">
        <f t="shared" si="7"/>
        <v>CARLA NOIR + REHAUSSE 13 50*60 VERRE</v>
      </c>
      <c r="AA215" s="39" t="s">
        <v>45</v>
      </c>
      <c r="AB215" s="39" t="s">
        <v>46</v>
      </c>
      <c r="AC215" s="47" t="str">
        <f t="shared" si="8"/>
        <v>CARLA NOIR + REHAUSSE 13 50*60 VERRE</v>
      </c>
      <c r="AD215" s="39" t="s">
        <v>47</v>
      </c>
      <c r="AE215" s="39" t="str">
        <f t="shared" si="9"/>
        <v>EVA  50*60 NOIR VERRE REHAUSSE 13mm - CADRES GALERIE - Pas de passepartout - Dos classique sans chevalet (Largeur 15mm Profondeur 30mm)</v>
      </c>
      <c r="AF215" s="39" t="str">
        <f t="shared" si="1"/>
        <v>EVA  50*60 NOIR VERRE REHAUSSE 13mm - CADRES GALERIE - Pas de passepartout - Dos classique sans chevalet (Largeur 15mm Profondeur 30mm)</v>
      </c>
      <c r="AG215" s="53">
        <f t="shared" si="10"/>
        <v>28.89403694</v>
      </c>
      <c r="AH215" s="39"/>
      <c r="AI215" s="39"/>
      <c r="AJ215" s="39"/>
      <c r="AK215" s="39"/>
      <c r="AL215" s="39"/>
      <c r="AM215" s="39"/>
      <c r="AN215" s="39"/>
      <c r="AO215" s="39"/>
      <c r="AP215" s="39"/>
    </row>
    <row r="216" ht="15.75" customHeight="1">
      <c r="A216" s="39">
        <v>29.0</v>
      </c>
      <c r="B216" s="40" t="s">
        <v>267</v>
      </c>
      <c r="C216" s="41" t="s">
        <v>108</v>
      </c>
      <c r="D216" s="42" t="s">
        <v>302</v>
      </c>
      <c r="E216" s="43">
        <v>345707.0</v>
      </c>
      <c r="F216" s="44" t="s">
        <v>302</v>
      </c>
      <c r="G216" s="45">
        <v>0.0</v>
      </c>
      <c r="H216" s="54">
        <v>16.881824483259123</v>
      </c>
      <c r="I216" s="47" t="s">
        <v>39</v>
      </c>
      <c r="J216" s="39" t="str">
        <f t="shared" si="2"/>
        <v>072258 - CARLA</v>
      </c>
      <c r="K216" s="47">
        <f t="shared" si="3"/>
        <v>31.39</v>
      </c>
      <c r="L216" s="48">
        <v>17.2</v>
      </c>
      <c r="M216" s="49">
        <f t="shared" si="4"/>
        <v>31.39</v>
      </c>
      <c r="N216" s="39" t="s">
        <v>40</v>
      </c>
      <c r="O216" s="39" t="s">
        <v>41</v>
      </c>
      <c r="P216" s="39" t="s">
        <v>269</v>
      </c>
      <c r="Q216" s="47" t="str">
        <f t="shared" si="5"/>
        <v>50*65</v>
      </c>
      <c r="R216" s="50">
        <v>1.0</v>
      </c>
      <c r="S216" s="51">
        <v>1.0</v>
      </c>
      <c r="T216" s="51">
        <v>0.0</v>
      </c>
      <c r="U216" s="51">
        <v>0.0</v>
      </c>
      <c r="V216" s="47" t="s">
        <v>43</v>
      </c>
      <c r="W216" s="47" t="str">
        <f t="shared" si="6"/>
        <v>NOIR - 50*65 - REHAUSSE 13mm - (Largeur 15mm Profondeur 30mm)</v>
      </c>
      <c r="X216" s="50">
        <v>0.0</v>
      </c>
      <c r="Y216" s="52" t="s">
        <v>44</v>
      </c>
      <c r="Z216" s="47" t="str">
        <f t="shared" si="7"/>
        <v>CARLA NOIR + REHAUSSE 13 50*65 VERRE</v>
      </c>
      <c r="AA216" s="39" t="s">
        <v>45</v>
      </c>
      <c r="AB216" s="39" t="s">
        <v>46</v>
      </c>
      <c r="AC216" s="47" t="str">
        <f t="shared" si="8"/>
        <v>CARLA NOIR + REHAUSSE 13 50*65 VERRE</v>
      </c>
      <c r="AD216" s="39" t="s">
        <v>47</v>
      </c>
      <c r="AE216" s="39" t="str">
        <f t="shared" si="9"/>
        <v>EVA  50*65 NOIR VERRE REHAUSSE 13mm - CADRES GALERIE - Pas de passepartout - Dos classique sans chevalet (Largeur 15mm Profondeur 30mm)</v>
      </c>
      <c r="AF216" s="39" t="str">
        <f t="shared" si="1"/>
        <v>EVA  50*65 NOIR VERRE REHAUSSE 13mm - CADRES GALERIE - Pas de passepartout - Dos classique sans chevalet (Largeur 15mm Profondeur 30mm)</v>
      </c>
      <c r="AG216" s="53">
        <f t="shared" si="10"/>
        <v>30.38728407</v>
      </c>
      <c r="AH216" s="39"/>
      <c r="AI216" s="39"/>
      <c r="AJ216" s="39"/>
      <c r="AK216" s="39"/>
      <c r="AL216" s="39"/>
      <c r="AM216" s="39"/>
      <c r="AN216" s="39"/>
      <c r="AO216" s="39"/>
      <c r="AP216" s="39"/>
    </row>
    <row r="217" ht="15.75" customHeight="1">
      <c r="A217" s="39">
        <v>30.0</v>
      </c>
      <c r="B217" s="40" t="s">
        <v>267</v>
      </c>
      <c r="C217" s="41" t="s">
        <v>110</v>
      </c>
      <c r="D217" s="42" t="s">
        <v>303</v>
      </c>
      <c r="E217" s="43">
        <v>345707.0</v>
      </c>
      <c r="F217" s="44" t="s">
        <v>303</v>
      </c>
      <c r="G217" s="45">
        <v>7.0</v>
      </c>
      <c r="H217" s="54">
        <v>17.711406224400147</v>
      </c>
      <c r="I217" s="47" t="s">
        <v>39</v>
      </c>
      <c r="J217" s="39" t="str">
        <f t="shared" si="2"/>
        <v>072259 - CARLA</v>
      </c>
      <c r="K217" s="47">
        <f t="shared" si="3"/>
        <v>32.94125</v>
      </c>
      <c r="L217" s="48">
        <v>18.05</v>
      </c>
      <c r="M217" s="49">
        <f t="shared" si="4"/>
        <v>32.94125</v>
      </c>
      <c r="N217" s="39" t="s">
        <v>40</v>
      </c>
      <c r="O217" s="39" t="s">
        <v>41</v>
      </c>
      <c r="P217" s="39" t="s">
        <v>269</v>
      </c>
      <c r="Q217" s="47" t="str">
        <f t="shared" si="5"/>
        <v>50*70</v>
      </c>
      <c r="R217" s="50">
        <v>1.0</v>
      </c>
      <c r="S217" s="51">
        <v>1.0</v>
      </c>
      <c r="T217" s="51">
        <v>0.0</v>
      </c>
      <c r="U217" s="51">
        <v>0.0</v>
      </c>
      <c r="V217" s="47" t="s">
        <v>43</v>
      </c>
      <c r="W217" s="47" t="str">
        <f t="shared" si="6"/>
        <v>NOIR - 50*70 - REHAUSSE 13mm - (Largeur 15mm Profondeur 30mm)</v>
      </c>
      <c r="X217" s="50">
        <v>0.0</v>
      </c>
      <c r="Y217" s="52" t="s">
        <v>44</v>
      </c>
      <c r="Z217" s="47" t="str">
        <f t="shared" si="7"/>
        <v>CARLA NOIR + REHAUSSE 13 50*70 VERRE</v>
      </c>
      <c r="AA217" s="39" t="s">
        <v>45</v>
      </c>
      <c r="AB217" s="39" t="s">
        <v>46</v>
      </c>
      <c r="AC217" s="47" t="str">
        <f t="shared" si="8"/>
        <v>CARLA NOIR + REHAUSSE 13 50*70 VERRE</v>
      </c>
      <c r="AD217" s="39" t="s">
        <v>47</v>
      </c>
      <c r="AE217" s="39" t="str">
        <f t="shared" si="9"/>
        <v>EVA  50*70 NOIR VERRE REHAUSSE 13mm - CADRES GALERIE - Pas de passepartout - Dos classique sans chevalet (Largeur 15mm Profondeur 30mm)</v>
      </c>
      <c r="AF217" s="39" t="str">
        <f t="shared" si="1"/>
        <v>EVA  50*70 NOIR VERRE REHAUSSE 13mm - CADRES GALERIE - Pas de passepartout - Dos classique sans chevalet (Largeur 15mm Profondeur 30mm)</v>
      </c>
      <c r="AG217" s="53">
        <f t="shared" si="10"/>
        <v>31.8805312</v>
      </c>
      <c r="AH217" s="39"/>
      <c r="AI217" s="39"/>
      <c r="AJ217" s="39"/>
      <c r="AK217" s="39"/>
      <c r="AL217" s="39"/>
      <c r="AM217" s="39"/>
      <c r="AN217" s="39"/>
      <c r="AO217" s="39"/>
      <c r="AP217" s="39"/>
    </row>
    <row r="218" ht="15.75" customHeight="1">
      <c r="A218" s="39">
        <v>31.0</v>
      </c>
      <c r="B218" s="40" t="s">
        <v>267</v>
      </c>
      <c r="C218" s="41" t="s">
        <v>112</v>
      </c>
      <c r="D218" s="42" t="s">
        <v>304</v>
      </c>
      <c r="E218" s="43">
        <v>345707.0</v>
      </c>
      <c r="F218" s="44" t="s">
        <v>304</v>
      </c>
      <c r="G218" s="45">
        <v>7.0</v>
      </c>
      <c r="H218" s="54">
        <v>18.06563434888815</v>
      </c>
      <c r="I218" s="47" t="s">
        <v>39</v>
      </c>
      <c r="J218" s="39" t="str">
        <f t="shared" si="2"/>
        <v>054301 - CARLA</v>
      </c>
      <c r="K218" s="47">
        <f t="shared" si="3"/>
        <v>33.59825</v>
      </c>
      <c r="L218" s="48">
        <v>18.41</v>
      </c>
      <c r="M218" s="49">
        <f t="shared" si="4"/>
        <v>33.59825</v>
      </c>
      <c r="N218" s="39" t="s">
        <v>40</v>
      </c>
      <c r="O218" s="39" t="s">
        <v>41</v>
      </c>
      <c r="P218" s="39" t="s">
        <v>269</v>
      </c>
      <c r="Q218" s="47" t="str">
        <f t="shared" si="5"/>
        <v>60*60</v>
      </c>
      <c r="R218" s="50">
        <v>1.0</v>
      </c>
      <c r="S218" s="51">
        <v>1.0</v>
      </c>
      <c r="T218" s="51">
        <v>0.0</v>
      </c>
      <c r="U218" s="51">
        <v>0.0</v>
      </c>
      <c r="V218" s="47" t="s">
        <v>43</v>
      </c>
      <c r="W218" s="47" t="str">
        <f t="shared" si="6"/>
        <v>NOIR - 60*60 - REHAUSSE 13mm - (Largeur 15mm Profondeur 30mm)</v>
      </c>
      <c r="X218" s="50">
        <v>0.0</v>
      </c>
      <c r="Y218" s="52" t="s">
        <v>44</v>
      </c>
      <c r="Z218" s="47" t="str">
        <f t="shared" si="7"/>
        <v>CARLA NOIR + REHAUSSE 13 60*60 VERRE</v>
      </c>
      <c r="AA218" s="39" t="s">
        <v>45</v>
      </c>
      <c r="AB218" s="39" t="s">
        <v>46</v>
      </c>
      <c r="AC218" s="47" t="str">
        <f t="shared" si="8"/>
        <v>CARLA NOIR + REHAUSSE 13 60*60 VERRE</v>
      </c>
      <c r="AD218" s="39" t="s">
        <v>47</v>
      </c>
      <c r="AE218" s="39" t="str">
        <f t="shared" si="9"/>
        <v>EVA  60*60 NOIR VERRE REHAUSSE 13mm - CADRES GALERIE - Pas de passepartout - Dos classique sans chevalet (Largeur 15mm Profondeur 30mm)</v>
      </c>
      <c r="AF218" s="39" t="str">
        <f t="shared" si="1"/>
        <v>EVA  60*60 NOIR VERRE REHAUSSE 13mm - CADRES GALERIE - Pas de passepartout - Dos classique sans chevalet (Largeur 15mm Profondeur 30mm)</v>
      </c>
      <c r="AG218" s="53">
        <f t="shared" si="10"/>
        <v>32.51814183</v>
      </c>
      <c r="AH218" s="39"/>
      <c r="AI218" s="39"/>
      <c r="AJ218" s="39"/>
      <c r="AK218" s="39"/>
      <c r="AL218" s="39"/>
      <c r="AM218" s="39"/>
      <c r="AN218" s="39"/>
      <c r="AO218" s="39"/>
      <c r="AP218" s="39"/>
    </row>
    <row r="219" ht="15.75" customHeight="1">
      <c r="A219" s="39">
        <v>32.0</v>
      </c>
      <c r="B219" s="40" t="s">
        <v>267</v>
      </c>
      <c r="C219" s="41" t="s">
        <v>114</v>
      </c>
      <c r="D219" s="42" t="s">
        <v>305</v>
      </c>
      <c r="E219" s="43">
        <v>345707.0</v>
      </c>
      <c r="F219" s="44" t="s">
        <v>305</v>
      </c>
      <c r="G219" s="45">
        <v>3.0</v>
      </c>
      <c r="H219" s="46">
        <v>21.423210694643785</v>
      </c>
      <c r="I219" s="47" t="s">
        <v>39</v>
      </c>
      <c r="J219" s="39" t="str">
        <f t="shared" si="2"/>
        <v>072260 - CARLA</v>
      </c>
      <c r="K219" s="47">
        <f t="shared" si="3"/>
        <v>39.83975</v>
      </c>
      <c r="L219" s="48">
        <v>21.83</v>
      </c>
      <c r="M219" s="49">
        <f t="shared" si="4"/>
        <v>39.83975</v>
      </c>
      <c r="N219" s="39" t="s">
        <v>40</v>
      </c>
      <c r="O219" s="39" t="s">
        <v>41</v>
      </c>
      <c r="P219" s="39" t="s">
        <v>269</v>
      </c>
      <c r="Q219" s="47" t="str">
        <f t="shared" si="5"/>
        <v>60*80</v>
      </c>
      <c r="R219" s="50">
        <v>1.0</v>
      </c>
      <c r="S219" s="51">
        <v>1.0</v>
      </c>
      <c r="T219" s="51">
        <v>0.0</v>
      </c>
      <c r="U219" s="51">
        <v>0.0</v>
      </c>
      <c r="V219" s="47" t="s">
        <v>43</v>
      </c>
      <c r="W219" s="47" t="str">
        <f t="shared" si="6"/>
        <v>NOIR - 60*80 - REHAUSSE 13mm - (Largeur 15mm Profondeur 30mm)</v>
      </c>
      <c r="X219" s="50">
        <v>0.0</v>
      </c>
      <c r="Y219" s="52" t="s">
        <v>44</v>
      </c>
      <c r="Z219" s="47" t="str">
        <f t="shared" si="7"/>
        <v>CARLA NOIR + REHAUSSE 13 60*80 VERRE</v>
      </c>
      <c r="AA219" s="39" t="s">
        <v>45</v>
      </c>
      <c r="AB219" s="39" t="s">
        <v>46</v>
      </c>
      <c r="AC219" s="47" t="str">
        <f t="shared" si="8"/>
        <v>CARLA NOIR + REHAUSSE 13 60*80 VERRE</v>
      </c>
      <c r="AD219" s="39" t="s">
        <v>47</v>
      </c>
      <c r="AE219" s="39" t="str">
        <f t="shared" si="9"/>
        <v>EVA  60*80 NOIR VERRE REHAUSSE 13mm - CADRES GALERIE - Pas de passepartout - Dos classique sans chevalet (Largeur 15mm Profondeur 30mm)</v>
      </c>
      <c r="AF219" s="39" t="str">
        <f t="shared" si="1"/>
        <v>EVA  60*80 NOIR VERRE REHAUSSE 13mm - CADRES GALERIE - Pas de passepartout - Dos classique sans chevalet (Largeur 15mm Profondeur 30mm)</v>
      </c>
      <c r="AG219" s="53">
        <f t="shared" si="10"/>
        <v>38.56177925</v>
      </c>
      <c r="AH219" s="39"/>
      <c r="AI219" s="39"/>
      <c r="AJ219" s="39"/>
      <c r="AK219" s="39"/>
      <c r="AL219" s="39"/>
      <c r="AM219" s="39"/>
      <c r="AN219" s="39"/>
      <c r="AO219" s="39"/>
      <c r="AP219" s="39"/>
    </row>
    <row r="220" ht="15.75" customHeight="1">
      <c r="A220" s="39">
        <v>129.0</v>
      </c>
      <c r="B220" s="40" t="s">
        <v>306</v>
      </c>
      <c r="C220" s="41" t="s">
        <v>37</v>
      </c>
      <c r="D220" s="42" t="s">
        <v>307</v>
      </c>
      <c r="E220" s="43">
        <v>345707.0</v>
      </c>
      <c r="F220" s="44" t="s">
        <v>307</v>
      </c>
      <c r="G220" s="45">
        <v>4.0</v>
      </c>
      <c r="H220" s="54">
        <v>2.7095493415655616</v>
      </c>
      <c r="I220" s="47" t="s">
        <v>39</v>
      </c>
      <c r="J220" s="39" t="str">
        <f t="shared" si="2"/>
        <v>072065 - CARLA</v>
      </c>
      <c r="K220" s="47">
        <f t="shared" si="3"/>
        <v>5.037</v>
      </c>
      <c r="L220" s="48">
        <v>2.76</v>
      </c>
      <c r="M220" s="49">
        <f t="shared" si="4"/>
        <v>5.037</v>
      </c>
      <c r="N220" s="39" t="s">
        <v>118</v>
      </c>
      <c r="O220" s="39" t="s">
        <v>41</v>
      </c>
      <c r="P220" s="39" t="s">
        <v>269</v>
      </c>
      <c r="Q220" s="47" t="str">
        <f t="shared" si="5"/>
        <v>10*15</v>
      </c>
      <c r="R220" s="50">
        <v>1.0</v>
      </c>
      <c r="S220" s="51">
        <v>0.0</v>
      </c>
      <c r="T220" s="51">
        <v>1.0</v>
      </c>
      <c r="U220" s="51">
        <v>0.0</v>
      </c>
      <c r="V220" s="39" t="s">
        <v>119</v>
      </c>
      <c r="W220" s="47" t="str">
        <f t="shared" si="6"/>
        <v>NOIR - 10*15 - PAS DE REHAUSSE - (Largeur 15mm Profondeur 30mm)</v>
      </c>
      <c r="X220" s="50">
        <v>0.0</v>
      </c>
      <c r="Y220" s="52" t="s">
        <v>44</v>
      </c>
      <c r="Z220" s="47" t="str">
        <f t="shared" si="7"/>
        <v>CARLA NOIR  10*15 VERRE</v>
      </c>
      <c r="AA220" s="39" t="s">
        <v>45</v>
      </c>
      <c r="AB220" s="39" t="s">
        <v>46</v>
      </c>
      <c r="AC220" s="47" t="str">
        <f t="shared" si="8"/>
        <v>CARLA NOIR  10*15 VERRE</v>
      </c>
      <c r="AD220" s="39" t="s">
        <v>47</v>
      </c>
      <c r="AE220" s="39" t="str">
        <f t="shared" si="9"/>
        <v>EVA  10*15 NOIR VERRE PAS DE REHAUSSE - CADRES CLASSIQUES - Pas de passepartout - Dos classique sans chevalet (Largeur 15mm Profondeur 30mm)</v>
      </c>
      <c r="AF220" s="39" t="str">
        <f t="shared" si="1"/>
        <v>EVA  10*15 NOIR VERRE PAS DE REHAUSSE - CADRES CLASSIQUES - Pas de passepartout - Dos classique sans chevalet (Largeur 15mm Profondeur 30mm)</v>
      </c>
      <c r="AG220" s="53">
        <f t="shared" si="10"/>
        <v>4.877188815</v>
      </c>
      <c r="AH220" s="39"/>
      <c r="AI220" s="39"/>
      <c r="AJ220" s="39"/>
      <c r="AK220" s="39"/>
      <c r="AL220" s="39"/>
      <c r="AM220" s="39"/>
      <c r="AN220" s="39"/>
      <c r="AO220" s="39"/>
      <c r="AP220" s="39"/>
    </row>
    <row r="221" ht="15.75" customHeight="1">
      <c r="A221" s="39">
        <v>129.0</v>
      </c>
      <c r="B221" s="40" t="s">
        <v>306</v>
      </c>
      <c r="C221" s="41" t="s">
        <v>37</v>
      </c>
      <c r="D221" s="42" t="s">
        <v>308</v>
      </c>
      <c r="E221" s="43">
        <v>345707.0</v>
      </c>
      <c r="F221" s="44" t="s">
        <v>307</v>
      </c>
      <c r="G221" s="45">
        <v>4.0</v>
      </c>
      <c r="H221" s="54">
        <v>2.7095493415655616</v>
      </c>
      <c r="I221" s="47" t="s">
        <v>39</v>
      </c>
      <c r="J221" s="39" t="str">
        <f t="shared" si="2"/>
        <v>072065DC - CARLA</v>
      </c>
      <c r="K221" s="47">
        <f t="shared" si="3"/>
        <v>5.037</v>
      </c>
      <c r="L221" s="48">
        <v>2.76</v>
      </c>
      <c r="M221" s="49">
        <f t="shared" si="4"/>
        <v>5.037</v>
      </c>
      <c r="N221" s="39" t="s">
        <v>118</v>
      </c>
      <c r="O221" s="39" t="s">
        <v>41</v>
      </c>
      <c r="P221" s="39" t="s">
        <v>269</v>
      </c>
      <c r="Q221" s="47" t="str">
        <f t="shared" si="5"/>
        <v>10*15</v>
      </c>
      <c r="R221" s="50">
        <v>1.0</v>
      </c>
      <c r="S221" s="51">
        <v>0.0</v>
      </c>
      <c r="T221" s="51">
        <v>1.0</v>
      </c>
      <c r="U221" s="51">
        <v>1.0</v>
      </c>
      <c r="V221" s="39" t="s">
        <v>119</v>
      </c>
      <c r="W221" s="47" t="str">
        <f t="shared" si="6"/>
        <v>NOIR - 10*15 - PAS DE REHAUSSE - (Largeur 15mm Profondeur 30mm)</v>
      </c>
      <c r="X221" s="50">
        <v>0.0</v>
      </c>
      <c r="Y221" s="52" t="s">
        <v>44</v>
      </c>
      <c r="Z221" s="47" t="str">
        <f t="shared" si="7"/>
        <v>CARLA NOIR  10*15 VERRE</v>
      </c>
      <c r="AA221" s="39" t="s">
        <v>45</v>
      </c>
      <c r="AB221" s="39" t="s">
        <v>49</v>
      </c>
      <c r="AC221" s="47" t="str">
        <f t="shared" si="8"/>
        <v>CARLA NOIR  10*15 VERRE</v>
      </c>
      <c r="AD221" s="39" t="s">
        <v>47</v>
      </c>
      <c r="AE221" s="39" t="str">
        <f t="shared" si="9"/>
        <v>EVA  10*15 NOIR VERRE PAS DE REHAUSSE - CADRES CLASSIQUES - Pas de passepartout - DOS AVEC CHEVALET (Largeur 15mm Profondeur 30mm)</v>
      </c>
      <c r="AF221" s="39" t="str">
        <f t="shared" si="1"/>
        <v>EVA  10*15 NOIR VERRE PAS DE REHAUSSE - CADRES CLASSIQUES - Pas de passepartout - DOS AVEC CHEVALET (Largeur 15mm Profondeur 30mm)</v>
      </c>
      <c r="AG221" s="53">
        <f t="shared" si="10"/>
        <v>4.877188815</v>
      </c>
      <c r="AH221" s="39"/>
      <c r="AI221" s="39"/>
      <c r="AJ221" s="39"/>
      <c r="AK221" s="39"/>
      <c r="AL221" s="39"/>
      <c r="AM221" s="39"/>
      <c r="AN221" s="39"/>
      <c r="AO221" s="39"/>
      <c r="AP221" s="39"/>
    </row>
    <row r="222" ht="15.75" customHeight="1">
      <c r="A222" s="39">
        <v>130.0</v>
      </c>
      <c r="B222" s="40" t="s">
        <v>306</v>
      </c>
      <c r="C222" s="41" t="s">
        <v>50</v>
      </c>
      <c r="D222" s="42" t="s">
        <v>309</v>
      </c>
      <c r="E222" s="43">
        <v>345707.0</v>
      </c>
      <c r="F222" s="44" t="s">
        <v>309</v>
      </c>
      <c r="G222" s="45">
        <v>1.0</v>
      </c>
      <c r="H222" s="54">
        <v>2.469481220540844</v>
      </c>
      <c r="I222" s="47" t="s">
        <v>39</v>
      </c>
      <c r="J222" s="39" t="str">
        <f t="shared" si="2"/>
        <v>072066 - CARLA</v>
      </c>
      <c r="K222" s="47">
        <f t="shared" si="3"/>
        <v>4.599</v>
      </c>
      <c r="L222" s="48">
        <v>2.52</v>
      </c>
      <c r="M222" s="49">
        <f t="shared" si="4"/>
        <v>4.599</v>
      </c>
      <c r="N222" s="39" t="s">
        <v>118</v>
      </c>
      <c r="O222" s="39" t="s">
        <v>41</v>
      </c>
      <c r="P222" s="39" t="s">
        <v>269</v>
      </c>
      <c r="Q222" s="47" t="str">
        <f t="shared" si="5"/>
        <v>11*11</v>
      </c>
      <c r="R222" s="50">
        <v>1.0</v>
      </c>
      <c r="S222" s="51">
        <v>0.0</v>
      </c>
      <c r="T222" s="51">
        <v>0.0</v>
      </c>
      <c r="U222" s="51">
        <v>0.0</v>
      </c>
      <c r="V222" s="39" t="s">
        <v>119</v>
      </c>
      <c r="W222" s="47" t="str">
        <f t="shared" si="6"/>
        <v>NOIR - 11*11 - PAS DE REHAUSSE - (Largeur 15mm Profondeur 30mm)</v>
      </c>
      <c r="X222" s="50">
        <v>0.0</v>
      </c>
      <c r="Y222" s="52" t="s">
        <v>44</v>
      </c>
      <c r="Z222" s="47" t="str">
        <f t="shared" si="7"/>
        <v>CARLA NOIR  11*11 VERRE</v>
      </c>
      <c r="AA222" s="39" t="s">
        <v>45</v>
      </c>
      <c r="AB222" s="39" t="s">
        <v>46</v>
      </c>
      <c r="AC222" s="47" t="str">
        <f t="shared" si="8"/>
        <v>CARLA NOIR  11*11 VERRE</v>
      </c>
      <c r="AD222" s="39" t="s">
        <v>47</v>
      </c>
      <c r="AE222" s="39" t="str">
        <f t="shared" si="9"/>
        <v>EVA  11*11 NOIR VERRE PAS DE REHAUSSE - CADRES CLASSIQUES - Pas de passepartout - Dos classique sans chevalet (Largeur 15mm Profondeur 30mm)</v>
      </c>
      <c r="AF222" s="39" t="str">
        <f t="shared" si="1"/>
        <v>EVA  11*11 NOIR VERRE PAS DE REHAUSSE - CADRES CLASSIQUES - Pas de passepartout - Dos classique sans chevalet (Largeur 15mm Profondeur 30mm)</v>
      </c>
      <c r="AG222" s="53">
        <f t="shared" si="10"/>
        <v>4.445066197</v>
      </c>
      <c r="AH222" s="39"/>
      <c r="AI222" s="39"/>
      <c r="AJ222" s="39"/>
      <c r="AK222" s="39"/>
      <c r="AL222" s="39"/>
      <c r="AM222" s="39"/>
      <c r="AN222" s="39"/>
      <c r="AO222" s="39"/>
      <c r="AP222" s="39"/>
    </row>
    <row r="223" ht="15.75" customHeight="1">
      <c r="A223" s="39">
        <v>131.0</v>
      </c>
      <c r="B223" s="40" t="s">
        <v>306</v>
      </c>
      <c r="C223" s="41" t="s">
        <v>52</v>
      </c>
      <c r="D223" s="42" t="s">
        <v>310</v>
      </c>
      <c r="E223" s="43">
        <v>345707.0</v>
      </c>
      <c r="F223" s="44" t="s">
        <v>310</v>
      </c>
      <c r="G223" s="45">
        <v>5.0</v>
      </c>
      <c r="H223" s="54">
        <v>3.223353673758705</v>
      </c>
      <c r="I223" s="47" t="s">
        <v>39</v>
      </c>
      <c r="J223" s="39" t="str">
        <f t="shared" si="2"/>
        <v>072068 - CARLA</v>
      </c>
      <c r="K223" s="47">
        <f t="shared" si="3"/>
        <v>5.986</v>
      </c>
      <c r="L223" s="48">
        <v>3.28</v>
      </c>
      <c r="M223" s="49">
        <f t="shared" si="4"/>
        <v>5.986</v>
      </c>
      <c r="N223" s="39" t="s">
        <v>118</v>
      </c>
      <c r="O223" s="39" t="s">
        <v>41</v>
      </c>
      <c r="P223" s="39" t="s">
        <v>269</v>
      </c>
      <c r="Q223" s="47" t="str">
        <f t="shared" si="5"/>
        <v>13*18</v>
      </c>
      <c r="R223" s="50">
        <v>1.0</v>
      </c>
      <c r="S223" s="51">
        <v>0.0</v>
      </c>
      <c r="T223" s="51">
        <v>1.0</v>
      </c>
      <c r="U223" s="51">
        <v>0.0</v>
      </c>
      <c r="V223" s="39" t="s">
        <v>119</v>
      </c>
      <c r="W223" s="47" t="str">
        <f t="shared" si="6"/>
        <v>NOIR - 13*18 - PAS DE REHAUSSE - (Largeur 15mm Profondeur 30mm)</v>
      </c>
      <c r="X223" s="50">
        <v>0.0</v>
      </c>
      <c r="Y223" s="52" t="s">
        <v>44</v>
      </c>
      <c r="Z223" s="47" t="str">
        <f t="shared" si="7"/>
        <v>CARLA NOIR  13*18 VERRE</v>
      </c>
      <c r="AA223" s="39" t="s">
        <v>45</v>
      </c>
      <c r="AB223" s="39" t="s">
        <v>46</v>
      </c>
      <c r="AC223" s="47" t="str">
        <f t="shared" si="8"/>
        <v>CARLA NOIR  13*18 VERRE</v>
      </c>
      <c r="AD223" s="39" t="s">
        <v>47</v>
      </c>
      <c r="AE223" s="39" t="str">
        <f t="shared" si="9"/>
        <v>EVA  13*18 NOIR VERRE PAS DE REHAUSSE - CADRES CLASSIQUES - Pas de passepartout - Dos classique sans chevalet (Largeur 15mm Profondeur 30mm)</v>
      </c>
      <c r="AF223" s="39" t="str">
        <f t="shared" si="1"/>
        <v>EVA  13*18 NOIR VERRE PAS DE REHAUSSE - CADRES CLASSIQUES - Pas de passepartout - Dos classique sans chevalet (Largeur 15mm Profondeur 30mm)</v>
      </c>
      <c r="AG223" s="53">
        <f t="shared" si="10"/>
        <v>5.802036613</v>
      </c>
      <c r="AH223" s="39"/>
      <c r="AI223" s="39"/>
      <c r="AJ223" s="39"/>
      <c r="AK223" s="39"/>
      <c r="AL223" s="39"/>
      <c r="AM223" s="39"/>
      <c r="AN223" s="39"/>
      <c r="AO223" s="39"/>
      <c r="AP223" s="39"/>
    </row>
    <row r="224" ht="15.75" customHeight="1">
      <c r="A224" s="39">
        <v>131.0</v>
      </c>
      <c r="B224" s="40" t="s">
        <v>306</v>
      </c>
      <c r="C224" s="41" t="s">
        <v>52</v>
      </c>
      <c r="D224" s="42" t="s">
        <v>311</v>
      </c>
      <c r="E224" s="43">
        <v>345707.0</v>
      </c>
      <c r="F224" s="44" t="s">
        <v>310</v>
      </c>
      <c r="G224" s="45">
        <v>5.0</v>
      </c>
      <c r="H224" s="54">
        <v>3.223353673758705</v>
      </c>
      <c r="I224" s="47" t="s">
        <v>39</v>
      </c>
      <c r="J224" s="39" t="str">
        <f t="shared" si="2"/>
        <v>072068DC - CARLA</v>
      </c>
      <c r="K224" s="47">
        <f t="shared" si="3"/>
        <v>5.986</v>
      </c>
      <c r="L224" s="48">
        <v>3.28</v>
      </c>
      <c r="M224" s="49">
        <f t="shared" si="4"/>
        <v>5.986</v>
      </c>
      <c r="N224" s="39" t="s">
        <v>118</v>
      </c>
      <c r="O224" s="39" t="s">
        <v>41</v>
      </c>
      <c r="P224" s="39" t="s">
        <v>269</v>
      </c>
      <c r="Q224" s="47" t="str">
        <f t="shared" si="5"/>
        <v>13*18</v>
      </c>
      <c r="R224" s="50">
        <v>1.0</v>
      </c>
      <c r="S224" s="51">
        <v>0.0</v>
      </c>
      <c r="T224" s="51">
        <v>1.0</v>
      </c>
      <c r="U224" s="51">
        <v>1.0</v>
      </c>
      <c r="V224" s="39" t="s">
        <v>119</v>
      </c>
      <c r="W224" s="47" t="str">
        <f t="shared" si="6"/>
        <v>NOIR - 13*18 - PAS DE REHAUSSE - (Largeur 15mm Profondeur 30mm)</v>
      </c>
      <c r="X224" s="50">
        <v>0.0</v>
      </c>
      <c r="Y224" s="52" t="s">
        <v>44</v>
      </c>
      <c r="Z224" s="47" t="str">
        <f t="shared" si="7"/>
        <v>CARLA NOIR  13*18 VERRE</v>
      </c>
      <c r="AA224" s="39" t="s">
        <v>45</v>
      </c>
      <c r="AB224" s="39" t="s">
        <v>49</v>
      </c>
      <c r="AC224" s="47" t="str">
        <f t="shared" si="8"/>
        <v>CARLA NOIR  13*18 VERRE</v>
      </c>
      <c r="AD224" s="39" t="s">
        <v>47</v>
      </c>
      <c r="AE224" s="39" t="str">
        <f t="shared" si="9"/>
        <v>EVA  13*18 NOIR VERRE PAS DE REHAUSSE - CADRES CLASSIQUES - Pas de passepartout - DOS AVEC CHEVALET (Largeur 15mm Profondeur 30mm)</v>
      </c>
      <c r="AF224" s="39" t="str">
        <f t="shared" si="1"/>
        <v>EVA  13*18 NOIR VERRE PAS DE REHAUSSE - CADRES CLASSIQUES - Pas de passepartout - DOS AVEC CHEVALET (Largeur 15mm Profondeur 30mm)</v>
      </c>
      <c r="AG224" s="53">
        <f t="shared" si="10"/>
        <v>5.802036613</v>
      </c>
      <c r="AH224" s="39"/>
      <c r="AI224" s="39"/>
      <c r="AJ224" s="39"/>
      <c r="AK224" s="39"/>
      <c r="AL224" s="39"/>
      <c r="AM224" s="39"/>
      <c r="AN224" s="39"/>
      <c r="AO224" s="39"/>
      <c r="AP224" s="39"/>
    </row>
    <row r="225" ht="15.75" customHeight="1">
      <c r="A225" s="39">
        <v>132.0</v>
      </c>
      <c r="B225" s="40" t="s">
        <v>306</v>
      </c>
      <c r="C225" s="41" t="s">
        <v>55</v>
      </c>
      <c r="D225" s="42" t="s">
        <v>312</v>
      </c>
      <c r="E225" s="43">
        <v>345707.0</v>
      </c>
      <c r="F225" s="44" t="s">
        <v>312</v>
      </c>
      <c r="G225" s="45">
        <v>8.0</v>
      </c>
      <c r="H225" s="54">
        <v>2.971247014762603</v>
      </c>
      <c r="I225" s="47" t="s">
        <v>39</v>
      </c>
      <c r="J225" s="39" t="str">
        <f t="shared" si="2"/>
        <v>072070 - CARLA</v>
      </c>
      <c r="K225" s="47">
        <f t="shared" si="3"/>
        <v>5.52975</v>
      </c>
      <c r="L225" s="48">
        <v>3.03</v>
      </c>
      <c r="M225" s="49">
        <f t="shared" si="4"/>
        <v>5.52975</v>
      </c>
      <c r="N225" s="39" t="s">
        <v>118</v>
      </c>
      <c r="O225" s="39" t="s">
        <v>41</v>
      </c>
      <c r="P225" s="39" t="s">
        <v>269</v>
      </c>
      <c r="Q225" s="47" t="str">
        <f t="shared" si="5"/>
        <v>14*14</v>
      </c>
      <c r="R225" s="50">
        <v>1.0</v>
      </c>
      <c r="S225" s="51">
        <v>0.0</v>
      </c>
      <c r="T225" s="51">
        <v>0.0</v>
      </c>
      <c r="U225" s="51">
        <v>0.0</v>
      </c>
      <c r="V225" s="39" t="s">
        <v>119</v>
      </c>
      <c r="W225" s="47" t="str">
        <f t="shared" si="6"/>
        <v>NOIR - 14*14 - PAS DE REHAUSSE - (Largeur 15mm Profondeur 30mm)</v>
      </c>
      <c r="X225" s="50">
        <v>0.0</v>
      </c>
      <c r="Y225" s="52" t="s">
        <v>44</v>
      </c>
      <c r="Z225" s="47" t="str">
        <f t="shared" si="7"/>
        <v>CARLA NOIR  14*14 VERRE</v>
      </c>
      <c r="AA225" s="39" t="s">
        <v>45</v>
      </c>
      <c r="AB225" s="39" t="s">
        <v>46</v>
      </c>
      <c r="AC225" s="47" t="str">
        <f t="shared" si="8"/>
        <v>CARLA NOIR  14*14 VERRE</v>
      </c>
      <c r="AD225" s="39" t="s">
        <v>47</v>
      </c>
      <c r="AE225" s="39" t="str">
        <f t="shared" si="9"/>
        <v>EVA  14*14 NOIR VERRE PAS DE REHAUSSE - CADRES CLASSIQUES - Pas de passepartout - Dos classique sans chevalet (Largeur 15mm Profondeur 30mm)</v>
      </c>
      <c r="AF225" s="39" t="str">
        <f t="shared" si="1"/>
        <v>EVA  14*14 NOIR VERRE PAS DE REHAUSSE - CADRES CLASSIQUES - Pas de passepartout - Dos classique sans chevalet (Largeur 15mm Profondeur 30mm)</v>
      </c>
      <c r="AG225" s="53">
        <f t="shared" si="10"/>
        <v>5.348244627</v>
      </c>
      <c r="AH225" s="39"/>
      <c r="AI225" s="39"/>
      <c r="AJ225" s="39"/>
      <c r="AK225" s="39"/>
      <c r="AL225" s="39"/>
      <c r="AM225" s="39"/>
      <c r="AN225" s="39"/>
      <c r="AO225" s="39"/>
      <c r="AP225" s="39"/>
    </row>
    <row r="226" ht="15.75" customHeight="1">
      <c r="A226" s="39">
        <v>133.0</v>
      </c>
      <c r="B226" s="40" t="s">
        <v>306</v>
      </c>
      <c r="C226" s="41" t="s">
        <v>59</v>
      </c>
      <c r="D226" s="42" t="s">
        <v>313</v>
      </c>
      <c r="E226" s="43">
        <v>345707.0</v>
      </c>
      <c r="F226" s="44" t="s">
        <v>313</v>
      </c>
      <c r="G226" s="45">
        <v>5.0</v>
      </c>
      <c r="H226" s="54">
        <v>3.6650790164441864</v>
      </c>
      <c r="I226" s="47" t="s">
        <v>39</v>
      </c>
      <c r="J226" s="39" t="str">
        <f t="shared" si="2"/>
        <v>072071 - CARLA</v>
      </c>
      <c r="K226" s="47">
        <f t="shared" si="3"/>
        <v>6.80725</v>
      </c>
      <c r="L226" s="48">
        <v>3.73</v>
      </c>
      <c r="M226" s="49">
        <f t="shared" si="4"/>
        <v>6.80725</v>
      </c>
      <c r="N226" s="39" t="s">
        <v>118</v>
      </c>
      <c r="O226" s="39" t="s">
        <v>41</v>
      </c>
      <c r="P226" s="39" t="s">
        <v>269</v>
      </c>
      <c r="Q226" s="47" t="str">
        <f t="shared" si="5"/>
        <v>15*21</v>
      </c>
      <c r="R226" s="50">
        <v>1.0</v>
      </c>
      <c r="S226" s="51">
        <v>0.0</v>
      </c>
      <c r="T226" s="51">
        <v>1.0</v>
      </c>
      <c r="U226" s="51">
        <v>0.0</v>
      </c>
      <c r="V226" s="39" t="s">
        <v>119</v>
      </c>
      <c r="W226" s="47" t="str">
        <f t="shared" si="6"/>
        <v>NOIR - 15*21 - PAS DE REHAUSSE - (Largeur 15mm Profondeur 30mm)</v>
      </c>
      <c r="X226" s="50">
        <v>0.0</v>
      </c>
      <c r="Y226" s="52" t="s">
        <v>44</v>
      </c>
      <c r="Z226" s="47" t="str">
        <f t="shared" si="7"/>
        <v>CARLA NOIR  15*21 VERRE</v>
      </c>
      <c r="AA226" s="39" t="s">
        <v>45</v>
      </c>
      <c r="AB226" s="39" t="s">
        <v>46</v>
      </c>
      <c r="AC226" s="47" t="str">
        <f t="shared" si="8"/>
        <v>CARLA NOIR  15*21 VERRE</v>
      </c>
      <c r="AD226" s="39" t="s">
        <v>47</v>
      </c>
      <c r="AE226" s="39" t="str">
        <f t="shared" si="9"/>
        <v>EVA  15*21 NOIR VERRE PAS DE REHAUSSE - CADRES CLASSIQUES - Pas de passepartout - Dos classique sans chevalet (Largeur 15mm Profondeur 30mm)</v>
      </c>
      <c r="AF226" s="39" t="str">
        <f t="shared" si="1"/>
        <v>EVA  15*21 NOIR VERRE PAS DE REHAUSSE - CADRES CLASSIQUES - Pas de passepartout - Dos classique sans chevalet (Largeur 15mm Profondeur 30mm)</v>
      </c>
      <c r="AG226" s="53">
        <f t="shared" si="10"/>
        <v>6.59714223</v>
      </c>
      <c r="AH226" s="39"/>
      <c r="AI226" s="39"/>
      <c r="AJ226" s="39"/>
      <c r="AK226" s="39"/>
      <c r="AL226" s="39"/>
      <c r="AM226" s="39"/>
      <c r="AN226" s="39"/>
      <c r="AO226" s="39"/>
      <c r="AP226" s="39"/>
    </row>
    <row r="227" ht="15.75" customHeight="1">
      <c r="A227" s="39">
        <v>133.0</v>
      </c>
      <c r="B227" s="40" t="s">
        <v>306</v>
      </c>
      <c r="C227" s="41" t="s">
        <v>59</v>
      </c>
      <c r="D227" s="42" t="s">
        <v>314</v>
      </c>
      <c r="E227" s="43">
        <v>345707.0</v>
      </c>
      <c r="F227" s="44" t="s">
        <v>313</v>
      </c>
      <c r="G227" s="45">
        <v>5.0</v>
      </c>
      <c r="H227" s="54">
        <v>3.6650790164441864</v>
      </c>
      <c r="I227" s="47" t="s">
        <v>39</v>
      </c>
      <c r="J227" s="39" t="str">
        <f t="shared" si="2"/>
        <v>072071DC - CARLA</v>
      </c>
      <c r="K227" s="47">
        <f t="shared" si="3"/>
        <v>6.80725</v>
      </c>
      <c r="L227" s="48">
        <v>3.73</v>
      </c>
      <c r="M227" s="49">
        <f t="shared" si="4"/>
        <v>6.80725</v>
      </c>
      <c r="N227" s="39" t="s">
        <v>118</v>
      </c>
      <c r="O227" s="39" t="s">
        <v>41</v>
      </c>
      <c r="P227" s="39" t="s">
        <v>269</v>
      </c>
      <c r="Q227" s="47" t="str">
        <f t="shared" si="5"/>
        <v>15*21</v>
      </c>
      <c r="R227" s="50">
        <v>1.0</v>
      </c>
      <c r="S227" s="51">
        <v>0.0</v>
      </c>
      <c r="T227" s="51">
        <v>1.0</v>
      </c>
      <c r="U227" s="51">
        <v>1.0</v>
      </c>
      <c r="V227" s="39" t="s">
        <v>119</v>
      </c>
      <c r="W227" s="47" t="str">
        <f t="shared" si="6"/>
        <v>NOIR - 15*21 - PAS DE REHAUSSE - (Largeur 15mm Profondeur 30mm)</v>
      </c>
      <c r="X227" s="50">
        <v>0.0</v>
      </c>
      <c r="Y227" s="52" t="s">
        <v>44</v>
      </c>
      <c r="Z227" s="47" t="str">
        <f t="shared" si="7"/>
        <v>CARLA NOIR  15*21 VERRE</v>
      </c>
      <c r="AA227" s="39" t="s">
        <v>45</v>
      </c>
      <c r="AB227" s="39" t="s">
        <v>49</v>
      </c>
      <c r="AC227" s="47" t="str">
        <f t="shared" si="8"/>
        <v>CARLA NOIR  15*21 VERRE</v>
      </c>
      <c r="AD227" s="39" t="s">
        <v>47</v>
      </c>
      <c r="AE227" s="39" t="str">
        <f t="shared" si="9"/>
        <v>EVA  15*21 NOIR VERRE PAS DE REHAUSSE - CADRES CLASSIQUES - Pas de passepartout - DOS AVEC CHEVALET (Largeur 15mm Profondeur 30mm)</v>
      </c>
      <c r="AF227" s="39" t="str">
        <f t="shared" si="1"/>
        <v>EVA  15*21 NOIR VERRE PAS DE REHAUSSE - CADRES CLASSIQUES - Pas de passepartout - DOS AVEC CHEVALET (Largeur 15mm Profondeur 30mm)</v>
      </c>
      <c r="AG227" s="53">
        <f t="shared" si="10"/>
        <v>6.59714223</v>
      </c>
      <c r="AH227" s="39"/>
      <c r="AI227" s="39"/>
      <c r="AJ227" s="39"/>
      <c r="AK227" s="39"/>
      <c r="AL227" s="39"/>
      <c r="AM227" s="39"/>
      <c r="AN227" s="39"/>
      <c r="AO227" s="39"/>
      <c r="AP227" s="39"/>
    </row>
    <row r="228" ht="15.75" customHeight="1">
      <c r="A228" s="39">
        <v>134.0</v>
      </c>
      <c r="B228" s="40" t="s">
        <v>306</v>
      </c>
      <c r="C228" s="41" t="s">
        <v>62</v>
      </c>
      <c r="D228" s="42" t="s">
        <v>315</v>
      </c>
      <c r="E228" s="43">
        <v>345707.0</v>
      </c>
      <c r="F228" s="44" t="s">
        <v>315</v>
      </c>
      <c r="G228" s="45">
        <v>2.0</v>
      </c>
      <c r="H228" s="54">
        <v>4.221849686980731</v>
      </c>
      <c r="I228" s="47" t="s">
        <v>39</v>
      </c>
      <c r="J228" s="39" t="str">
        <f t="shared" si="2"/>
        <v>072072 - CARLA</v>
      </c>
      <c r="K228" s="47">
        <f t="shared" si="3"/>
        <v>7.8475</v>
      </c>
      <c r="L228" s="48">
        <v>4.3</v>
      </c>
      <c r="M228" s="49">
        <f t="shared" si="4"/>
        <v>7.8475</v>
      </c>
      <c r="N228" s="39" t="s">
        <v>118</v>
      </c>
      <c r="O228" s="39" t="s">
        <v>41</v>
      </c>
      <c r="P228" s="39" t="s">
        <v>269</v>
      </c>
      <c r="Q228" s="47" t="str">
        <f t="shared" si="5"/>
        <v>18*24</v>
      </c>
      <c r="R228" s="50">
        <v>1.0</v>
      </c>
      <c r="S228" s="51">
        <v>0.0</v>
      </c>
      <c r="T228" s="51">
        <v>1.0</v>
      </c>
      <c r="U228" s="51">
        <v>0.0</v>
      </c>
      <c r="V228" s="39" t="s">
        <v>119</v>
      </c>
      <c r="W228" s="47" t="str">
        <f t="shared" si="6"/>
        <v>NOIR - 18*24 - PAS DE REHAUSSE - (Largeur 15mm Profondeur 30mm)</v>
      </c>
      <c r="X228" s="50">
        <v>0.0</v>
      </c>
      <c r="Y228" s="52" t="s">
        <v>44</v>
      </c>
      <c r="Z228" s="47" t="str">
        <f t="shared" si="7"/>
        <v>CARLA NOIR  18*24 VERRE</v>
      </c>
      <c r="AA228" s="39" t="s">
        <v>45</v>
      </c>
      <c r="AB228" s="39" t="s">
        <v>46</v>
      </c>
      <c r="AC228" s="47" t="str">
        <f t="shared" si="8"/>
        <v>CARLA NOIR  18*24 VERRE</v>
      </c>
      <c r="AD228" s="39" t="s">
        <v>47</v>
      </c>
      <c r="AE228" s="39" t="str">
        <f t="shared" si="9"/>
        <v>EVA  18*24 NOIR VERRE PAS DE REHAUSSE - CADRES CLASSIQUES - Pas de passepartout - Dos classique sans chevalet (Largeur 15mm Profondeur 30mm)</v>
      </c>
      <c r="AF228" s="39" t="str">
        <f t="shared" si="1"/>
        <v>EVA  18*24 NOIR VERRE PAS DE REHAUSSE - CADRES CLASSIQUES - Pas de passepartout - Dos classique sans chevalet (Largeur 15mm Profondeur 30mm)</v>
      </c>
      <c r="AG228" s="53">
        <f t="shared" si="10"/>
        <v>7.599329437</v>
      </c>
      <c r="AH228" s="39"/>
      <c r="AI228" s="39"/>
      <c r="AJ228" s="39"/>
      <c r="AK228" s="39"/>
      <c r="AL228" s="39"/>
      <c r="AM228" s="39"/>
      <c r="AN228" s="39"/>
      <c r="AO228" s="39"/>
      <c r="AP228" s="39"/>
    </row>
    <row r="229" ht="15.75" customHeight="1">
      <c r="A229" s="39">
        <v>134.0</v>
      </c>
      <c r="B229" s="40" t="s">
        <v>306</v>
      </c>
      <c r="C229" s="41" t="s">
        <v>62</v>
      </c>
      <c r="D229" s="42" t="s">
        <v>316</v>
      </c>
      <c r="E229" s="43">
        <v>345707.0</v>
      </c>
      <c r="F229" s="44" t="s">
        <v>315</v>
      </c>
      <c r="G229" s="45">
        <v>2.0</v>
      </c>
      <c r="H229" s="54">
        <v>4.221849686980731</v>
      </c>
      <c r="I229" s="47" t="s">
        <v>39</v>
      </c>
      <c r="J229" s="39" t="str">
        <f t="shared" si="2"/>
        <v>072072DC - CARLA</v>
      </c>
      <c r="K229" s="47">
        <f t="shared" si="3"/>
        <v>7.8475</v>
      </c>
      <c r="L229" s="48">
        <v>4.3</v>
      </c>
      <c r="M229" s="49">
        <f t="shared" si="4"/>
        <v>7.8475</v>
      </c>
      <c r="N229" s="39" t="s">
        <v>118</v>
      </c>
      <c r="O229" s="39" t="s">
        <v>41</v>
      </c>
      <c r="P229" s="39" t="s">
        <v>269</v>
      </c>
      <c r="Q229" s="47" t="str">
        <f t="shared" si="5"/>
        <v>18*24</v>
      </c>
      <c r="R229" s="50">
        <v>1.0</v>
      </c>
      <c r="S229" s="51">
        <v>0.0</v>
      </c>
      <c r="T229" s="51">
        <v>1.0</v>
      </c>
      <c r="U229" s="51">
        <v>1.0</v>
      </c>
      <c r="V229" s="39" t="s">
        <v>119</v>
      </c>
      <c r="W229" s="47" t="str">
        <f t="shared" si="6"/>
        <v>NOIR - 18*24 - PAS DE REHAUSSE - (Largeur 15mm Profondeur 30mm)</v>
      </c>
      <c r="X229" s="50">
        <v>0.0</v>
      </c>
      <c r="Y229" s="52" t="s">
        <v>44</v>
      </c>
      <c r="Z229" s="47" t="str">
        <f t="shared" si="7"/>
        <v>CARLA NOIR  18*24 VERRE</v>
      </c>
      <c r="AA229" s="39" t="s">
        <v>45</v>
      </c>
      <c r="AB229" s="39" t="s">
        <v>49</v>
      </c>
      <c r="AC229" s="47" t="str">
        <f t="shared" si="8"/>
        <v>CARLA NOIR  18*24 VERRE</v>
      </c>
      <c r="AD229" s="39" t="s">
        <v>47</v>
      </c>
      <c r="AE229" s="39" t="str">
        <f t="shared" si="9"/>
        <v>EVA  18*24 NOIR VERRE PAS DE REHAUSSE - CADRES CLASSIQUES - Pas de passepartout - DOS AVEC CHEVALET (Largeur 15mm Profondeur 30mm)</v>
      </c>
      <c r="AF229" s="39" t="str">
        <f t="shared" si="1"/>
        <v>EVA  18*24 NOIR VERRE PAS DE REHAUSSE - CADRES CLASSIQUES - Pas de passepartout - DOS AVEC CHEVALET (Largeur 15mm Profondeur 30mm)</v>
      </c>
      <c r="AG229" s="53">
        <f t="shared" si="10"/>
        <v>7.599329437</v>
      </c>
      <c r="AH229" s="39"/>
      <c r="AI229" s="39"/>
      <c r="AJ229" s="39"/>
      <c r="AK229" s="39"/>
      <c r="AL229" s="39"/>
      <c r="AM229" s="39"/>
      <c r="AN229" s="39"/>
      <c r="AO229" s="39"/>
      <c r="AP229" s="39"/>
    </row>
    <row r="230" ht="15.75" customHeight="1">
      <c r="A230" s="39">
        <v>135.0</v>
      </c>
      <c r="B230" s="40" t="s">
        <v>306</v>
      </c>
      <c r="C230" s="41" t="s">
        <v>65</v>
      </c>
      <c r="D230" s="42" t="s">
        <v>317</v>
      </c>
      <c r="E230" s="43">
        <v>345707.0</v>
      </c>
      <c r="F230" s="44" t="s">
        <v>317</v>
      </c>
      <c r="G230" s="45">
        <v>9.0</v>
      </c>
      <c r="H230" s="54">
        <v>5.220954653485354</v>
      </c>
      <c r="I230" s="47" t="s">
        <v>39</v>
      </c>
      <c r="J230" s="39" t="str">
        <f t="shared" si="2"/>
        <v>072073 - CARLA</v>
      </c>
      <c r="K230" s="47">
        <f t="shared" si="3"/>
        <v>9.709</v>
      </c>
      <c r="L230" s="48">
        <v>5.32</v>
      </c>
      <c r="M230" s="49">
        <f t="shared" si="4"/>
        <v>9.709</v>
      </c>
      <c r="N230" s="39" t="s">
        <v>118</v>
      </c>
      <c r="O230" s="39" t="s">
        <v>41</v>
      </c>
      <c r="P230" s="39" t="s">
        <v>269</v>
      </c>
      <c r="Q230" s="47" t="str">
        <f t="shared" si="5"/>
        <v>18*35</v>
      </c>
      <c r="R230" s="50">
        <v>1.0</v>
      </c>
      <c r="S230" s="51">
        <v>0.0</v>
      </c>
      <c r="T230" s="51">
        <v>0.0</v>
      </c>
      <c r="U230" s="51">
        <v>0.0</v>
      </c>
      <c r="V230" s="39" t="s">
        <v>119</v>
      </c>
      <c r="W230" s="47" t="str">
        <f t="shared" si="6"/>
        <v>NOIR - 18*35 - PAS DE REHAUSSE - (Largeur 15mm Profondeur 30mm)</v>
      </c>
      <c r="X230" s="50">
        <v>0.0</v>
      </c>
      <c r="Y230" s="52" t="s">
        <v>44</v>
      </c>
      <c r="Z230" s="47" t="str">
        <f t="shared" si="7"/>
        <v>CARLA NOIR  18*35 VERRE</v>
      </c>
      <c r="AA230" s="39" t="s">
        <v>45</v>
      </c>
      <c r="AB230" s="39" t="s">
        <v>46</v>
      </c>
      <c r="AC230" s="47" t="str">
        <f t="shared" si="8"/>
        <v>CARLA NOIR  18*35 VERRE</v>
      </c>
      <c r="AD230" s="39" t="s">
        <v>47</v>
      </c>
      <c r="AE230" s="39" t="str">
        <f t="shared" si="9"/>
        <v>EVA  18*35 NOIR VERRE PAS DE REHAUSSE - CADRES CLASSIQUES - Pas de passepartout - Dos classique sans chevalet (Largeur 15mm Profondeur 30mm)</v>
      </c>
      <c r="AF230" s="39" t="str">
        <f t="shared" si="1"/>
        <v>EVA  18*35 NOIR VERRE PAS DE REHAUSSE - CADRES CLASSIQUES - Pas de passepartout - Dos classique sans chevalet (Largeur 15mm Profondeur 30mm)</v>
      </c>
      <c r="AG230" s="53">
        <f t="shared" si="10"/>
        <v>9.397718376</v>
      </c>
      <c r="AH230" s="39"/>
      <c r="AI230" s="39"/>
      <c r="AJ230" s="39"/>
      <c r="AK230" s="39"/>
      <c r="AL230" s="39"/>
      <c r="AM230" s="39"/>
      <c r="AN230" s="39"/>
      <c r="AO230" s="39"/>
      <c r="AP230" s="39"/>
    </row>
    <row r="231" ht="15.75" customHeight="1">
      <c r="A231" s="39">
        <v>136.0</v>
      </c>
      <c r="B231" s="40" t="s">
        <v>306</v>
      </c>
      <c r="C231" s="41" t="s">
        <v>67</v>
      </c>
      <c r="D231" s="42" t="s">
        <v>318</v>
      </c>
      <c r="E231" s="43">
        <v>345707.0</v>
      </c>
      <c r="F231" s="44" t="s">
        <v>318</v>
      </c>
      <c r="G231" s="45">
        <v>6.0</v>
      </c>
      <c r="H231" s="54">
        <v>4.045440605267738</v>
      </c>
      <c r="I231" s="47" t="s">
        <v>39</v>
      </c>
      <c r="J231" s="39" t="str">
        <f t="shared" si="2"/>
        <v>072074 - CARLA</v>
      </c>
      <c r="K231" s="47">
        <f t="shared" si="3"/>
        <v>7.519</v>
      </c>
      <c r="L231" s="48">
        <v>4.12</v>
      </c>
      <c r="M231" s="49">
        <f t="shared" si="4"/>
        <v>7.519</v>
      </c>
      <c r="N231" s="39" t="s">
        <v>118</v>
      </c>
      <c r="O231" s="39" t="s">
        <v>41</v>
      </c>
      <c r="P231" s="39" t="s">
        <v>269</v>
      </c>
      <c r="Q231" s="47" t="str">
        <f t="shared" si="5"/>
        <v>20*20</v>
      </c>
      <c r="R231" s="50">
        <v>1.0</v>
      </c>
      <c r="S231" s="51">
        <v>0.0</v>
      </c>
      <c r="T231" s="51">
        <v>0.0</v>
      </c>
      <c r="U231" s="51">
        <v>0.0</v>
      </c>
      <c r="V231" s="39" t="s">
        <v>119</v>
      </c>
      <c r="W231" s="47" t="str">
        <f t="shared" si="6"/>
        <v>NOIR - 20*20 - PAS DE REHAUSSE - (Largeur 15mm Profondeur 30mm)</v>
      </c>
      <c r="X231" s="50">
        <v>0.0</v>
      </c>
      <c r="Y231" s="52" t="s">
        <v>44</v>
      </c>
      <c r="Z231" s="47" t="str">
        <f t="shared" si="7"/>
        <v>CARLA NOIR  20*20 VERRE</v>
      </c>
      <c r="AA231" s="39" t="s">
        <v>45</v>
      </c>
      <c r="AB231" s="39" t="s">
        <v>46</v>
      </c>
      <c r="AC231" s="47" t="str">
        <f t="shared" si="8"/>
        <v>CARLA NOIR  20*20 VERRE</v>
      </c>
      <c r="AD231" s="39" t="s">
        <v>47</v>
      </c>
      <c r="AE231" s="39" t="str">
        <f t="shared" si="9"/>
        <v>EVA  20*20 NOIR VERRE PAS DE REHAUSSE - CADRES CLASSIQUES - Pas de passepartout - Dos classique sans chevalet (Largeur 15mm Profondeur 30mm)</v>
      </c>
      <c r="AF231" s="39" t="str">
        <f t="shared" si="1"/>
        <v>EVA  20*20 NOIR VERRE PAS DE REHAUSSE - CADRES CLASSIQUES - Pas de passepartout - Dos classique sans chevalet (Largeur 15mm Profondeur 30mm)</v>
      </c>
      <c r="AG231" s="53">
        <f t="shared" si="10"/>
        <v>7.281793089</v>
      </c>
      <c r="AH231" s="39"/>
      <c r="AI231" s="39"/>
      <c r="AJ231" s="39"/>
      <c r="AK231" s="39"/>
      <c r="AL231" s="39"/>
      <c r="AM231" s="39"/>
      <c r="AN231" s="39"/>
      <c r="AO231" s="39"/>
      <c r="AP231" s="39"/>
    </row>
    <row r="232" ht="15.75" customHeight="1">
      <c r="A232" s="39">
        <v>137.0</v>
      </c>
      <c r="B232" s="40" t="s">
        <v>306</v>
      </c>
      <c r="C232" s="41" t="s">
        <v>69</v>
      </c>
      <c r="D232" s="42" t="s">
        <v>319</v>
      </c>
      <c r="E232" s="43">
        <v>345707.0</v>
      </c>
      <c r="F232" s="44" t="s">
        <v>319</v>
      </c>
      <c r="G232" s="45">
        <v>3.0</v>
      </c>
      <c r="H232" s="54">
        <v>4.979949681256638</v>
      </c>
      <c r="I232" s="47" t="s">
        <v>39</v>
      </c>
      <c r="J232" s="39" t="str">
        <f t="shared" si="2"/>
        <v>072075 - CARLA</v>
      </c>
      <c r="K232" s="47">
        <f t="shared" si="3"/>
        <v>9.25275</v>
      </c>
      <c r="L232" s="48">
        <v>5.07</v>
      </c>
      <c r="M232" s="49">
        <f t="shared" si="4"/>
        <v>9.25275</v>
      </c>
      <c r="N232" s="39" t="s">
        <v>118</v>
      </c>
      <c r="O232" s="39" t="s">
        <v>41</v>
      </c>
      <c r="P232" s="39" t="s">
        <v>269</v>
      </c>
      <c r="Q232" s="47" t="str">
        <f t="shared" si="5"/>
        <v>20*30</v>
      </c>
      <c r="R232" s="50">
        <v>1.0</v>
      </c>
      <c r="S232" s="51">
        <v>0.0</v>
      </c>
      <c r="T232" s="51">
        <v>1.0</v>
      </c>
      <c r="U232" s="51">
        <v>0.0</v>
      </c>
      <c r="V232" s="39" t="s">
        <v>119</v>
      </c>
      <c r="W232" s="47" t="str">
        <f t="shared" si="6"/>
        <v>NOIR - 20*30 - PAS DE REHAUSSE - (Largeur 15mm Profondeur 30mm)</v>
      </c>
      <c r="X232" s="50">
        <v>0.0</v>
      </c>
      <c r="Y232" s="52" t="s">
        <v>44</v>
      </c>
      <c r="Z232" s="47" t="str">
        <f t="shared" si="7"/>
        <v>CARLA NOIR  20*30 VERRE</v>
      </c>
      <c r="AA232" s="39" t="s">
        <v>45</v>
      </c>
      <c r="AB232" s="39" t="s">
        <v>46</v>
      </c>
      <c r="AC232" s="47" t="str">
        <f t="shared" si="8"/>
        <v>CARLA NOIR  20*30 VERRE</v>
      </c>
      <c r="AD232" s="39" t="s">
        <v>47</v>
      </c>
      <c r="AE232" s="39" t="str">
        <f t="shared" si="9"/>
        <v>EVA  20*30 NOIR VERRE PAS DE REHAUSSE - CADRES CLASSIQUES - Pas de passepartout - Dos classique sans chevalet (Largeur 15mm Profondeur 30mm)</v>
      </c>
      <c r="AF232" s="39" t="str">
        <f t="shared" si="1"/>
        <v>EVA  20*30 NOIR VERRE PAS DE REHAUSSE - CADRES CLASSIQUES - Pas de passepartout - Dos classique sans chevalet (Largeur 15mm Profondeur 30mm)</v>
      </c>
      <c r="AG232" s="53">
        <f t="shared" si="10"/>
        <v>8.963909426</v>
      </c>
      <c r="AH232" s="39"/>
      <c r="AI232" s="39"/>
      <c r="AJ232" s="39"/>
      <c r="AK232" s="39"/>
      <c r="AL232" s="39"/>
      <c r="AM232" s="39"/>
      <c r="AN232" s="39"/>
      <c r="AO232" s="39"/>
      <c r="AP232" s="39"/>
    </row>
    <row r="233" ht="15.75" customHeight="1">
      <c r="A233" s="39">
        <v>137.0</v>
      </c>
      <c r="B233" s="40" t="s">
        <v>306</v>
      </c>
      <c r="C233" s="41" t="s">
        <v>69</v>
      </c>
      <c r="D233" s="42" t="s">
        <v>320</v>
      </c>
      <c r="E233" s="43">
        <v>345707.0</v>
      </c>
      <c r="F233" s="44" t="s">
        <v>319</v>
      </c>
      <c r="G233" s="45">
        <v>3.0</v>
      </c>
      <c r="H233" s="54">
        <v>4.979949681256638</v>
      </c>
      <c r="I233" s="47" t="s">
        <v>39</v>
      </c>
      <c r="J233" s="39" t="str">
        <f t="shared" si="2"/>
        <v>072075DC - CARLA</v>
      </c>
      <c r="K233" s="47">
        <f t="shared" si="3"/>
        <v>9.25275</v>
      </c>
      <c r="L233" s="48">
        <v>5.07</v>
      </c>
      <c r="M233" s="49">
        <f t="shared" si="4"/>
        <v>9.25275</v>
      </c>
      <c r="N233" s="39" t="s">
        <v>118</v>
      </c>
      <c r="O233" s="39" t="s">
        <v>41</v>
      </c>
      <c r="P233" s="39" t="s">
        <v>269</v>
      </c>
      <c r="Q233" s="47" t="str">
        <f t="shared" si="5"/>
        <v>20*30</v>
      </c>
      <c r="R233" s="50">
        <v>1.0</v>
      </c>
      <c r="S233" s="51">
        <v>0.0</v>
      </c>
      <c r="T233" s="51">
        <v>1.0</v>
      </c>
      <c r="U233" s="51">
        <v>1.0</v>
      </c>
      <c r="V233" s="39" t="s">
        <v>119</v>
      </c>
      <c r="W233" s="47" t="str">
        <f t="shared" si="6"/>
        <v>NOIR - 20*30 - PAS DE REHAUSSE - (Largeur 15mm Profondeur 30mm)</v>
      </c>
      <c r="X233" s="50">
        <v>0.0</v>
      </c>
      <c r="Y233" s="52" t="s">
        <v>44</v>
      </c>
      <c r="Z233" s="47" t="str">
        <f t="shared" si="7"/>
        <v>CARLA NOIR  20*30 VERRE</v>
      </c>
      <c r="AA233" s="39" t="s">
        <v>45</v>
      </c>
      <c r="AB233" s="39" t="s">
        <v>49</v>
      </c>
      <c r="AC233" s="47" t="str">
        <f t="shared" si="8"/>
        <v>CARLA NOIR  20*30 VERRE</v>
      </c>
      <c r="AD233" s="39" t="s">
        <v>47</v>
      </c>
      <c r="AE233" s="39" t="str">
        <f t="shared" si="9"/>
        <v>EVA  20*30 NOIR VERRE PAS DE REHAUSSE - CADRES CLASSIQUES - Pas de passepartout - DOS AVEC CHEVALET (Largeur 15mm Profondeur 30mm)</v>
      </c>
      <c r="AF233" s="39" t="str">
        <f t="shared" si="1"/>
        <v>EVA  20*30 NOIR VERRE PAS DE REHAUSSE - CADRES CLASSIQUES - Pas de passepartout - DOS AVEC CHEVALET (Largeur 15mm Profondeur 30mm)</v>
      </c>
      <c r="AG233" s="53">
        <f t="shared" si="10"/>
        <v>8.963909426</v>
      </c>
      <c r="AH233" s="39"/>
      <c r="AI233" s="39"/>
      <c r="AJ233" s="39"/>
      <c r="AK233" s="39"/>
      <c r="AL233" s="39"/>
      <c r="AM233" s="39"/>
      <c r="AN233" s="39"/>
      <c r="AO233" s="39"/>
      <c r="AP233" s="39"/>
    </row>
    <row r="234" ht="15.75" customHeight="1">
      <c r="A234" s="39">
        <v>138.0</v>
      </c>
      <c r="B234" s="40" t="s">
        <v>306</v>
      </c>
      <c r="C234" s="41" t="s">
        <v>72</v>
      </c>
      <c r="D234" s="42" t="s">
        <v>321</v>
      </c>
      <c r="E234" s="43">
        <v>345707.0</v>
      </c>
      <c r="F234" s="44" t="s">
        <v>321</v>
      </c>
      <c r="G234" s="45">
        <v>0.0</v>
      </c>
      <c r="H234" s="54">
        <v>6.848967833234439</v>
      </c>
      <c r="I234" s="47" t="s">
        <v>39</v>
      </c>
      <c r="J234" s="39" t="str">
        <f t="shared" si="2"/>
        <v>072076 - CARLA</v>
      </c>
      <c r="K234" s="47">
        <f t="shared" si="3"/>
        <v>12.7385</v>
      </c>
      <c r="L234" s="48">
        <v>6.98</v>
      </c>
      <c r="M234" s="49">
        <f t="shared" si="4"/>
        <v>12.7385</v>
      </c>
      <c r="N234" s="39" t="s">
        <v>118</v>
      </c>
      <c r="O234" s="39" t="s">
        <v>41</v>
      </c>
      <c r="P234" s="39" t="s">
        <v>269</v>
      </c>
      <c r="Q234" s="47" t="str">
        <f t="shared" si="5"/>
        <v>20*50</v>
      </c>
      <c r="R234" s="50">
        <v>1.0</v>
      </c>
      <c r="S234" s="51">
        <v>0.0</v>
      </c>
      <c r="T234" s="51">
        <v>0.0</v>
      </c>
      <c r="U234" s="51">
        <v>0.0</v>
      </c>
      <c r="V234" s="39" t="s">
        <v>119</v>
      </c>
      <c r="W234" s="47" t="str">
        <f t="shared" si="6"/>
        <v>NOIR - 20*50 - PAS DE REHAUSSE - (Largeur 15mm Profondeur 30mm)</v>
      </c>
      <c r="X234" s="50">
        <v>0.0</v>
      </c>
      <c r="Y234" s="52" t="s">
        <v>44</v>
      </c>
      <c r="Z234" s="47" t="str">
        <f t="shared" si="7"/>
        <v>CARLA NOIR  20*50 VERRE</v>
      </c>
      <c r="AA234" s="39" t="s">
        <v>45</v>
      </c>
      <c r="AB234" s="39" t="s">
        <v>46</v>
      </c>
      <c r="AC234" s="47" t="str">
        <f t="shared" si="8"/>
        <v>CARLA NOIR  20*50 VERRE</v>
      </c>
      <c r="AD234" s="39" t="s">
        <v>47</v>
      </c>
      <c r="AE234" s="39" t="str">
        <f t="shared" si="9"/>
        <v>EVA  20*50 NOIR VERRE PAS DE REHAUSSE - CADRES CLASSIQUES - Pas de passepartout - Dos classique sans chevalet (Largeur 15mm Profondeur 30mm)</v>
      </c>
      <c r="AF234" s="39" t="str">
        <f t="shared" si="1"/>
        <v>EVA  20*50 NOIR VERRE PAS DE REHAUSSE - CADRES CLASSIQUES - Pas de passepartout - Dos classique sans chevalet (Largeur 15mm Profondeur 30mm)</v>
      </c>
      <c r="AG234" s="53">
        <f t="shared" si="10"/>
        <v>12.3281421</v>
      </c>
      <c r="AH234" s="39"/>
      <c r="AI234" s="39"/>
      <c r="AJ234" s="39"/>
      <c r="AK234" s="39"/>
      <c r="AL234" s="39"/>
      <c r="AM234" s="39"/>
      <c r="AN234" s="39"/>
      <c r="AO234" s="39"/>
      <c r="AP234" s="39"/>
    </row>
    <row r="235" ht="15.75" customHeight="1">
      <c r="A235" s="39">
        <v>139.0</v>
      </c>
      <c r="B235" s="40" t="s">
        <v>306</v>
      </c>
      <c r="C235" s="41" t="s">
        <v>74</v>
      </c>
      <c r="D235" s="42" t="s">
        <v>322</v>
      </c>
      <c r="E235" s="43">
        <v>345707.0</v>
      </c>
      <c r="F235" s="44" t="s">
        <v>322</v>
      </c>
      <c r="G235" s="45">
        <v>7.0</v>
      </c>
      <c r="H235" s="54">
        <v>7.783476909223336</v>
      </c>
      <c r="I235" s="47" t="s">
        <v>39</v>
      </c>
      <c r="J235" s="39" t="str">
        <f t="shared" si="2"/>
        <v>072077 - CARLA</v>
      </c>
      <c r="K235" s="47">
        <f t="shared" si="3"/>
        <v>14.47225</v>
      </c>
      <c r="L235" s="48">
        <v>7.93</v>
      </c>
      <c r="M235" s="49">
        <f t="shared" si="4"/>
        <v>14.47225</v>
      </c>
      <c r="N235" s="39" t="s">
        <v>118</v>
      </c>
      <c r="O235" s="39" t="s">
        <v>41</v>
      </c>
      <c r="P235" s="39" t="s">
        <v>269</v>
      </c>
      <c r="Q235" s="47" t="str">
        <f t="shared" si="5"/>
        <v>20*60</v>
      </c>
      <c r="R235" s="50">
        <v>1.0</v>
      </c>
      <c r="S235" s="51">
        <v>0.0</v>
      </c>
      <c r="T235" s="51">
        <v>0.0</v>
      </c>
      <c r="U235" s="51">
        <v>0.0</v>
      </c>
      <c r="V235" s="39" t="s">
        <v>119</v>
      </c>
      <c r="W235" s="47" t="str">
        <f t="shared" si="6"/>
        <v>NOIR - 20*60 - PAS DE REHAUSSE - (Largeur 15mm Profondeur 30mm)</v>
      </c>
      <c r="X235" s="50">
        <v>0.0</v>
      </c>
      <c r="Y235" s="52" t="s">
        <v>44</v>
      </c>
      <c r="Z235" s="47" t="str">
        <f t="shared" si="7"/>
        <v>CARLA NOIR  20*60 VERRE</v>
      </c>
      <c r="AA235" s="39" t="s">
        <v>45</v>
      </c>
      <c r="AB235" s="39" t="s">
        <v>46</v>
      </c>
      <c r="AC235" s="47" t="str">
        <f t="shared" si="8"/>
        <v>CARLA NOIR  20*60 VERRE</v>
      </c>
      <c r="AD235" s="39" t="s">
        <v>47</v>
      </c>
      <c r="AE235" s="39" t="str">
        <f t="shared" si="9"/>
        <v>EVA  20*60 NOIR VERRE PAS DE REHAUSSE - CADRES CLASSIQUES - Pas de passepartout - Dos classique sans chevalet (Largeur 15mm Profondeur 30mm)</v>
      </c>
      <c r="AF235" s="39" t="str">
        <f t="shared" si="1"/>
        <v>EVA  20*60 NOIR VERRE PAS DE REHAUSSE - CADRES CLASSIQUES - Pas de passepartout - Dos classique sans chevalet (Largeur 15mm Profondeur 30mm)</v>
      </c>
      <c r="AG235" s="53">
        <f t="shared" si="10"/>
        <v>14.01025844</v>
      </c>
      <c r="AH235" s="39"/>
      <c r="AI235" s="39"/>
      <c r="AJ235" s="39"/>
      <c r="AK235" s="39"/>
      <c r="AL235" s="39"/>
      <c r="AM235" s="39"/>
      <c r="AN235" s="39"/>
      <c r="AO235" s="39"/>
      <c r="AP235" s="39"/>
    </row>
    <row r="236" ht="15.75" customHeight="1">
      <c r="A236" s="39">
        <v>140.0</v>
      </c>
      <c r="B236" s="40" t="s">
        <v>306</v>
      </c>
      <c r="C236" s="41" t="s">
        <v>76</v>
      </c>
      <c r="D236" s="42" t="s">
        <v>323</v>
      </c>
      <c r="E236" s="43">
        <v>345707.0</v>
      </c>
      <c r="F236" s="44" t="s">
        <v>323</v>
      </c>
      <c r="G236" s="45">
        <v>4.0</v>
      </c>
      <c r="H236" s="54">
        <v>5.058087755926166</v>
      </c>
      <c r="I236" s="47" t="s">
        <v>39</v>
      </c>
      <c r="J236" s="39" t="str">
        <f t="shared" si="2"/>
        <v>072078 - CARLA</v>
      </c>
      <c r="K236" s="47">
        <f t="shared" si="3"/>
        <v>9.39875</v>
      </c>
      <c r="L236" s="48">
        <v>5.15</v>
      </c>
      <c r="M236" s="49">
        <f t="shared" si="4"/>
        <v>9.39875</v>
      </c>
      <c r="N236" s="39" t="s">
        <v>118</v>
      </c>
      <c r="O236" s="39" t="s">
        <v>41</v>
      </c>
      <c r="P236" s="39" t="s">
        <v>269</v>
      </c>
      <c r="Q236" s="47" t="str">
        <f t="shared" si="5"/>
        <v>21*29,7</v>
      </c>
      <c r="R236" s="50">
        <v>1.0</v>
      </c>
      <c r="S236" s="51">
        <v>0.0</v>
      </c>
      <c r="T236" s="51">
        <v>0.0</v>
      </c>
      <c r="U236" s="51">
        <v>0.0</v>
      </c>
      <c r="V236" s="39" t="s">
        <v>119</v>
      </c>
      <c r="W236" s="47" t="str">
        <f t="shared" si="6"/>
        <v>NOIR - 21*29,7 - PAS DE REHAUSSE - (Largeur 15mm Profondeur 30mm)</v>
      </c>
      <c r="X236" s="50">
        <v>0.0</v>
      </c>
      <c r="Y236" s="52" t="s">
        <v>44</v>
      </c>
      <c r="Z236" s="47" t="str">
        <f t="shared" si="7"/>
        <v>CARLA NOIR  21*29,7 VERRE</v>
      </c>
      <c r="AA236" s="39" t="s">
        <v>45</v>
      </c>
      <c r="AB236" s="39" t="s">
        <v>46</v>
      </c>
      <c r="AC236" s="47" t="str">
        <f t="shared" si="8"/>
        <v>CARLA NOIR  21*29,7 VERRE</v>
      </c>
      <c r="AD236" s="39" t="s">
        <v>47</v>
      </c>
      <c r="AE236" s="39" t="str">
        <f t="shared" si="9"/>
        <v>EVA  21*29,7 NOIR VERRE PAS DE REHAUSSE - CADRES CLASSIQUES - Pas de passepartout - Dos classique sans chevalet (Largeur 15mm Profondeur 30mm)</v>
      </c>
      <c r="AF236" s="39" t="str">
        <f t="shared" si="1"/>
        <v>EVA  21*29,7 NOIR VERRE PAS DE REHAUSSE - CADRES CLASSIQUES - Pas de passepartout - Dos classique sans chevalet (Largeur 15mm Profondeur 30mm)</v>
      </c>
      <c r="AG236" s="53">
        <f t="shared" si="10"/>
        <v>9.104557961</v>
      </c>
      <c r="AH236" s="39"/>
      <c r="AI236" s="39"/>
      <c r="AJ236" s="39"/>
      <c r="AK236" s="39"/>
      <c r="AL236" s="39"/>
      <c r="AM236" s="39"/>
      <c r="AN236" s="39"/>
      <c r="AO236" s="39"/>
      <c r="AP236" s="39"/>
    </row>
    <row r="237" ht="15.75" customHeight="1">
      <c r="A237" s="39">
        <v>141.0</v>
      </c>
      <c r="B237" s="40" t="s">
        <v>306</v>
      </c>
      <c r="C237" s="41" t="s">
        <v>78</v>
      </c>
      <c r="D237" s="42" t="s">
        <v>324</v>
      </c>
      <c r="E237" s="43">
        <v>345707.0</v>
      </c>
      <c r="F237" s="44" t="s">
        <v>324</v>
      </c>
      <c r="G237" s="45">
        <v>1.0</v>
      </c>
      <c r="H237" s="54">
        <v>7.247363807734969</v>
      </c>
      <c r="I237" s="47" t="s">
        <v>39</v>
      </c>
      <c r="J237" s="39" t="str">
        <f t="shared" si="2"/>
        <v>072079 - CARLA</v>
      </c>
      <c r="K237" s="47">
        <f t="shared" si="3"/>
        <v>13.48675</v>
      </c>
      <c r="L237" s="48">
        <v>7.39</v>
      </c>
      <c r="M237" s="49">
        <f t="shared" si="4"/>
        <v>13.48675</v>
      </c>
      <c r="N237" s="39" t="s">
        <v>118</v>
      </c>
      <c r="O237" s="39" t="s">
        <v>41</v>
      </c>
      <c r="P237" s="39" t="s">
        <v>269</v>
      </c>
      <c r="Q237" s="47" t="str">
        <f t="shared" si="5"/>
        <v>23*50</v>
      </c>
      <c r="R237" s="50">
        <v>1.0</v>
      </c>
      <c r="S237" s="51">
        <v>0.0</v>
      </c>
      <c r="T237" s="51">
        <v>0.0</v>
      </c>
      <c r="U237" s="51">
        <v>0.0</v>
      </c>
      <c r="V237" s="39" t="s">
        <v>119</v>
      </c>
      <c r="W237" s="47" t="str">
        <f t="shared" si="6"/>
        <v>NOIR - 23*50 - PAS DE REHAUSSE - (Largeur 15mm Profondeur 30mm)</v>
      </c>
      <c r="X237" s="50">
        <v>0.0</v>
      </c>
      <c r="Y237" s="52" t="s">
        <v>44</v>
      </c>
      <c r="Z237" s="47" t="str">
        <f t="shared" si="7"/>
        <v>CARLA NOIR  23*50 VERRE</v>
      </c>
      <c r="AA237" s="39" t="s">
        <v>45</v>
      </c>
      <c r="AB237" s="39" t="s">
        <v>46</v>
      </c>
      <c r="AC237" s="47" t="str">
        <f t="shared" si="8"/>
        <v>CARLA NOIR  23*50 VERRE</v>
      </c>
      <c r="AD237" s="39" t="s">
        <v>47</v>
      </c>
      <c r="AE237" s="39" t="str">
        <f t="shared" si="9"/>
        <v>EVA  23*50 NOIR VERRE PAS DE REHAUSSE - CADRES CLASSIQUES - Pas de passepartout - Dos classique sans chevalet (Largeur 15mm Profondeur 30mm)</v>
      </c>
      <c r="AF237" s="39" t="str">
        <f t="shared" si="1"/>
        <v>EVA  23*50 NOIR VERRE PAS DE REHAUSSE - CADRES CLASSIQUES - Pas de passepartout - Dos classique sans chevalet (Largeur 15mm Profondeur 30mm)</v>
      </c>
      <c r="AG237" s="53">
        <f t="shared" si="10"/>
        <v>13.04525485</v>
      </c>
      <c r="AH237" s="39"/>
      <c r="AI237" s="39"/>
      <c r="AJ237" s="39"/>
      <c r="AK237" s="39"/>
      <c r="AL237" s="39"/>
      <c r="AM237" s="39"/>
      <c r="AN237" s="39"/>
      <c r="AO237" s="39"/>
      <c r="AP237" s="39"/>
    </row>
    <row r="238" ht="15.75" customHeight="1">
      <c r="A238" s="39">
        <v>142.0</v>
      </c>
      <c r="B238" s="40" t="s">
        <v>306</v>
      </c>
      <c r="C238" s="41" t="s">
        <v>80</v>
      </c>
      <c r="D238" s="42" t="s">
        <v>325</v>
      </c>
      <c r="E238" s="43">
        <v>345707.0</v>
      </c>
      <c r="F238" s="44" t="s">
        <v>325</v>
      </c>
      <c r="G238" s="45">
        <v>7.0</v>
      </c>
      <c r="H238" s="54">
        <v>5.406216979076135</v>
      </c>
      <c r="I238" s="47" t="s">
        <v>39</v>
      </c>
      <c r="J238" s="39" t="str">
        <f t="shared" si="2"/>
        <v>072080 - CARLA</v>
      </c>
      <c r="K238" s="47">
        <f t="shared" si="3"/>
        <v>10.05575</v>
      </c>
      <c r="L238" s="48">
        <v>5.51</v>
      </c>
      <c r="M238" s="49">
        <f t="shared" si="4"/>
        <v>10.05575</v>
      </c>
      <c r="N238" s="39" t="s">
        <v>118</v>
      </c>
      <c r="O238" s="39" t="s">
        <v>41</v>
      </c>
      <c r="P238" s="39" t="s">
        <v>269</v>
      </c>
      <c r="Q238" s="47" t="str">
        <f t="shared" si="5"/>
        <v>24*30</v>
      </c>
      <c r="R238" s="50">
        <v>1.0</v>
      </c>
      <c r="S238" s="51">
        <v>0.0</v>
      </c>
      <c r="T238" s="51">
        <v>0.0</v>
      </c>
      <c r="U238" s="51">
        <v>0.0</v>
      </c>
      <c r="V238" s="39" t="s">
        <v>119</v>
      </c>
      <c r="W238" s="47" t="str">
        <f t="shared" si="6"/>
        <v>NOIR - 24*30 - PAS DE REHAUSSE - (Largeur 15mm Profondeur 30mm)</v>
      </c>
      <c r="X238" s="50">
        <v>0.0</v>
      </c>
      <c r="Y238" s="52" t="s">
        <v>44</v>
      </c>
      <c r="Z238" s="47" t="str">
        <f t="shared" si="7"/>
        <v>CARLA NOIR  24*30 VERRE</v>
      </c>
      <c r="AA238" s="39" t="s">
        <v>45</v>
      </c>
      <c r="AB238" s="39" t="s">
        <v>46</v>
      </c>
      <c r="AC238" s="47" t="str">
        <f t="shared" si="8"/>
        <v>CARLA NOIR  24*30 VERRE</v>
      </c>
      <c r="AD238" s="39" t="s">
        <v>47</v>
      </c>
      <c r="AE238" s="39" t="str">
        <f t="shared" si="9"/>
        <v>EVA  24*30 NOIR VERRE PAS DE REHAUSSE - CADRES CLASSIQUES - Pas de passepartout - Dos classique sans chevalet (Largeur 15mm Profondeur 30mm)</v>
      </c>
      <c r="AF238" s="39" t="str">
        <f t="shared" si="1"/>
        <v>EVA  24*30 NOIR VERRE PAS DE REHAUSSE - CADRES CLASSIQUES - Pas de passepartout - Dos classique sans chevalet (Largeur 15mm Profondeur 30mm)</v>
      </c>
      <c r="AG238" s="53">
        <f t="shared" si="10"/>
        <v>9.731190562</v>
      </c>
      <c r="AH238" s="39"/>
      <c r="AI238" s="39"/>
      <c r="AJ238" s="39"/>
      <c r="AK238" s="39"/>
      <c r="AL238" s="39"/>
      <c r="AM238" s="39"/>
      <c r="AN238" s="39"/>
      <c r="AO238" s="39"/>
      <c r="AP238" s="39"/>
    </row>
    <row r="239" ht="15.75" customHeight="1">
      <c r="A239" s="39">
        <v>143.0</v>
      </c>
      <c r="B239" s="40" t="s">
        <v>306</v>
      </c>
      <c r="C239" s="41" t="s">
        <v>82</v>
      </c>
      <c r="D239" s="42" t="s">
        <v>326</v>
      </c>
      <c r="E239" s="43">
        <v>345707.0</v>
      </c>
      <c r="F239" s="44" t="s">
        <v>326</v>
      </c>
      <c r="G239" s="45">
        <v>4.0</v>
      </c>
      <c r="H239" s="54">
        <v>7.5129611240686565</v>
      </c>
      <c r="I239" s="47" t="s">
        <v>39</v>
      </c>
      <c r="J239" s="39" t="str">
        <f t="shared" si="2"/>
        <v>072081 - CARLA</v>
      </c>
      <c r="K239" s="47">
        <f t="shared" si="3"/>
        <v>13.9795</v>
      </c>
      <c r="L239" s="48">
        <v>7.66</v>
      </c>
      <c r="M239" s="49">
        <f t="shared" si="4"/>
        <v>13.9795</v>
      </c>
      <c r="N239" s="39" t="s">
        <v>118</v>
      </c>
      <c r="O239" s="39" t="s">
        <v>41</v>
      </c>
      <c r="P239" s="39" t="s">
        <v>269</v>
      </c>
      <c r="Q239" s="47" t="str">
        <f t="shared" si="5"/>
        <v>25*50</v>
      </c>
      <c r="R239" s="50">
        <v>1.0</v>
      </c>
      <c r="S239" s="51">
        <v>0.0</v>
      </c>
      <c r="T239" s="51">
        <v>0.0</v>
      </c>
      <c r="U239" s="51">
        <v>0.0</v>
      </c>
      <c r="V239" s="39" t="s">
        <v>119</v>
      </c>
      <c r="W239" s="47" t="str">
        <f t="shared" si="6"/>
        <v>NOIR - 25*50 - PAS DE REHAUSSE - (Largeur 15mm Profondeur 30mm)</v>
      </c>
      <c r="X239" s="50">
        <v>0.0</v>
      </c>
      <c r="Y239" s="52" t="s">
        <v>44</v>
      </c>
      <c r="Z239" s="47" t="str">
        <f t="shared" si="7"/>
        <v>CARLA NOIR  25*50 VERRE</v>
      </c>
      <c r="AA239" s="39" t="s">
        <v>45</v>
      </c>
      <c r="AB239" s="39" t="s">
        <v>46</v>
      </c>
      <c r="AC239" s="47" t="str">
        <f t="shared" si="8"/>
        <v>CARLA NOIR  25*50 VERRE</v>
      </c>
      <c r="AD239" s="39" t="s">
        <v>47</v>
      </c>
      <c r="AE239" s="39" t="str">
        <f t="shared" si="9"/>
        <v>EVA  25*50 NOIR VERRE PAS DE REHAUSSE - CADRES CLASSIQUES - Pas de passepartout - Dos classique sans chevalet (Largeur 15mm Profondeur 30mm)</v>
      </c>
      <c r="AF239" s="39" t="str">
        <f t="shared" si="1"/>
        <v>EVA  25*50 NOIR VERRE PAS DE REHAUSSE - CADRES CLASSIQUES - Pas de passepartout - Dos classique sans chevalet (Largeur 15mm Profondeur 30mm)</v>
      </c>
      <c r="AG239" s="53">
        <f t="shared" si="10"/>
        <v>13.52333002</v>
      </c>
      <c r="AH239" s="39"/>
      <c r="AI239" s="39"/>
      <c r="AJ239" s="39"/>
      <c r="AK239" s="39"/>
      <c r="AL239" s="39"/>
      <c r="AM239" s="39"/>
      <c r="AN239" s="39"/>
      <c r="AO239" s="39"/>
      <c r="AP239" s="39"/>
    </row>
    <row r="240" ht="15.75" customHeight="1">
      <c r="A240" s="39">
        <v>144.0</v>
      </c>
      <c r="B240" s="40" t="s">
        <v>306</v>
      </c>
      <c r="C240" s="41" t="s">
        <v>84</v>
      </c>
      <c r="D240" s="42" t="s">
        <v>327</v>
      </c>
      <c r="E240" s="43">
        <v>345707.0</v>
      </c>
      <c r="F240" s="44" t="s">
        <v>327</v>
      </c>
      <c r="G240" s="45">
        <v>1.0</v>
      </c>
      <c r="H240" s="54">
        <v>7.287728041859264</v>
      </c>
      <c r="I240" s="47" t="s">
        <v>39</v>
      </c>
      <c r="J240" s="39" t="str">
        <f t="shared" si="2"/>
        <v>072082 - CARLA</v>
      </c>
      <c r="K240" s="47">
        <f t="shared" si="3"/>
        <v>13.55975</v>
      </c>
      <c r="L240" s="48">
        <v>7.43</v>
      </c>
      <c r="M240" s="49">
        <f t="shared" si="4"/>
        <v>13.55975</v>
      </c>
      <c r="N240" s="39" t="s">
        <v>118</v>
      </c>
      <c r="O240" s="39" t="s">
        <v>41</v>
      </c>
      <c r="P240" s="39" t="s">
        <v>269</v>
      </c>
      <c r="Q240" s="47" t="str">
        <f t="shared" si="5"/>
        <v>29,7*42</v>
      </c>
      <c r="R240" s="50">
        <v>1.0</v>
      </c>
      <c r="S240" s="51">
        <v>0.0</v>
      </c>
      <c r="T240" s="51">
        <v>0.0</v>
      </c>
      <c r="U240" s="51">
        <v>0.0</v>
      </c>
      <c r="V240" s="39" t="s">
        <v>119</v>
      </c>
      <c r="W240" s="47" t="str">
        <f t="shared" si="6"/>
        <v>NOIR - 29,7*42 - PAS DE REHAUSSE - (Largeur 15mm Profondeur 30mm)</v>
      </c>
      <c r="X240" s="50">
        <v>0.0</v>
      </c>
      <c r="Y240" s="52" t="s">
        <v>44</v>
      </c>
      <c r="Z240" s="47" t="str">
        <f t="shared" si="7"/>
        <v>CARLA NOIR  29,7*42 VERRE</v>
      </c>
      <c r="AA240" s="39" t="s">
        <v>45</v>
      </c>
      <c r="AB240" s="39" t="s">
        <v>46</v>
      </c>
      <c r="AC240" s="47" t="str">
        <f t="shared" si="8"/>
        <v>CARLA NOIR  29,7*42 VERRE</v>
      </c>
      <c r="AD240" s="39" t="s">
        <v>47</v>
      </c>
      <c r="AE240" s="39" t="str">
        <f t="shared" si="9"/>
        <v>EVA  29,7*42 NOIR VERRE PAS DE REHAUSSE - CADRES CLASSIQUES - Pas de passepartout - Dos classique sans chevalet (Largeur 15mm Profondeur 30mm)</v>
      </c>
      <c r="AF240" s="39" t="str">
        <f t="shared" si="1"/>
        <v>EVA  29,7*42 NOIR VERRE PAS DE REHAUSSE - CADRES CLASSIQUES - Pas de passepartout - Dos classique sans chevalet (Largeur 15mm Profondeur 30mm)</v>
      </c>
      <c r="AG240" s="53">
        <f t="shared" si="10"/>
        <v>13.11791048</v>
      </c>
      <c r="AH240" s="39"/>
      <c r="AI240" s="39"/>
      <c r="AJ240" s="39"/>
      <c r="AK240" s="39"/>
      <c r="AL240" s="39"/>
      <c r="AM240" s="39"/>
      <c r="AN240" s="39"/>
      <c r="AO240" s="39"/>
      <c r="AP240" s="39"/>
    </row>
    <row r="241" ht="15.75" customHeight="1">
      <c r="A241" s="39">
        <v>145.0</v>
      </c>
      <c r="B241" s="40" t="s">
        <v>306</v>
      </c>
      <c r="C241" s="41" t="s">
        <v>86</v>
      </c>
      <c r="D241" s="42" t="s">
        <v>328</v>
      </c>
      <c r="E241" s="43">
        <v>345707.0</v>
      </c>
      <c r="F241" s="44" t="s">
        <v>328</v>
      </c>
      <c r="G241" s="45">
        <v>8.0</v>
      </c>
      <c r="H241" s="54">
        <v>6.045617925805384</v>
      </c>
      <c r="I241" s="47" t="s">
        <v>39</v>
      </c>
      <c r="J241" s="39" t="str">
        <f t="shared" si="2"/>
        <v>072083 - CARLA</v>
      </c>
      <c r="K241" s="47">
        <f t="shared" si="3"/>
        <v>11.242</v>
      </c>
      <c r="L241" s="48">
        <v>6.16</v>
      </c>
      <c r="M241" s="49">
        <f t="shared" si="4"/>
        <v>11.242</v>
      </c>
      <c r="N241" s="39" t="s">
        <v>118</v>
      </c>
      <c r="O241" s="39" t="s">
        <v>41</v>
      </c>
      <c r="P241" s="39" t="s">
        <v>269</v>
      </c>
      <c r="Q241" s="47" t="str">
        <f t="shared" si="5"/>
        <v>30*30</v>
      </c>
      <c r="R241" s="50">
        <v>1.0</v>
      </c>
      <c r="S241" s="51">
        <v>0.0</v>
      </c>
      <c r="T241" s="51">
        <v>0.0</v>
      </c>
      <c r="U241" s="51">
        <v>0.0</v>
      </c>
      <c r="V241" s="39" t="s">
        <v>119</v>
      </c>
      <c r="W241" s="47" t="str">
        <f t="shared" si="6"/>
        <v>NOIR - 30*30 - PAS DE REHAUSSE - (Largeur 15mm Profondeur 30mm)</v>
      </c>
      <c r="X241" s="50">
        <v>0.0</v>
      </c>
      <c r="Y241" s="52" t="s">
        <v>44</v>
      </c>
      <c r="Z241" s="47" t="str">
        <f t="shared" si="7"/>
        <v>CARLA NOIR  30*30 VERRE</v>
      </c>
      <c r="AA241" s="39" t="s">
        <v>45</v>
      </c>
      <c r="AB241" s="39" t="s">
        <v>46</v>
      </c>
      <c r="AC241" s="47" t="str">
        <f t="shared" si="8"/>
        <v>CARLA NOIR  30*30 VERRE</v>
      </c>
      <c r="AD241" s="39" t="s">
        <v>47</v>
      </c>
      <c r="AE241" s="39" t="str">
        <f t="shared" si="9"/>
        <v>EVA  30*30 NOIR VERRE PAS DE REHAUSSE - CADRES CLASSIQUES - Pas de passepartout - Dos classique sans chevalet (Largeur 15mm Profondeur 30mm)</v>
      </c>
      <c r="AF241" s="39" t="str">
        <f t="shared" si="1"/>
        <v>EVA  30*30 NOIR VERRE PAS DE REHAUSSE - CADRES CLASSIQUES - Pas de passepartout - Dos classique sans chevalet (Largeur 15mm Profondeur 30mm)</v>
      </c>
      <c r="AG241" s="53">
        <f t="shared" si="10"/>
        <v>10.88211227</v>
      </c>
      <c r="AH241" s="39"/>
      <c r="AI241" s="39"/>
      <c r="AJ241" s="39"/>
      <c r="AK241" s="39"/>
      <c r="AL241" s="39"/>
      <c r="AM241" s="39"/>
      <c r="AN241" s="39"/>
      <c r="AO241" s="39"/>
      <c r="AP241" s="39"/>
    </row>
    <row r="242" ht="15.75" customHeight="1">
      <c r="A242" s="39">
        <v>146.0</v>
      </c>
      <c r="B242" s="40" t="s">
        <v>306</v>
      </c>
      <c r="C242" s="41" t="s">
        <v>88</v>
      </c>
      <c r="D242" s="42" t="s">
        <v>329</v>
      </c>
      <c r="E242" s="43">
        <v>345707.0</v>
      </c>
      <c r="F242" s="44" t="s">
        <v>329</v>
      </c>
      <c r="G242" s="45">
        <v>5.0</v>
      </c>
      <c r="H242" s="54">
        <v>7.111286170354129</v>
      </c>
      <c r="I242" s="47" t="s">
        <v>39</v>
      </c>
      <c r="J242" s="39" t="str">
        <f t="shared" si="2"/>
        <v>072084 - CARLA</v>
      </c>
      <c r="K242" s="47">
        <f t="shared" si="3"/>
        <v>13.23125</v>
      </c>
      <c r="L242" s="48">
        <v>7.25</v>
      </c>
      <c r="M242" s="49">
        <f t="shared" si="4"/>
        <v>13.23125</v>
      </c>
      <c r="N242" s="39" t="s">
        <v>118</v>
      </c>
      <c r="O242" s="39" t="s">
        <v>41</v>
      </c>
      <c r="P242" s="39" t="s">
        <v>269</v>
      </c>
      <c r="Q242" s="47" t="str">
        <f t="shared" si="5"/>
        <v>30*40</v>
      </c>
      <c r="R242" s="50">
        <v>1.0</v>
      </c>
      <c r="S242" s="51">
        <v>0.0</v>
      </c>
      <c r="T242" s="51">
        <v>0.0</v>
      </c>
      <c r="U242" s="51">
        <v>0.0</v>
      </c>
      <c r="V242" s="39" t="s">
        <v>119</v>
      </c>
      <c r="W242" s="47" t="str">
        <f t="shared" si="6"/>
        <v>NOIR - 30*40 - PAS DE REHAUSSE - (Largeur 15mm Profondeur 30mm)</v>
      </c>
      <c r="X242" s="50">
        <v>0.0</v>
      </c>
      <c r="Y242" s="52" t="s">
        <v>44</v>
      </c>
      <c r="Z242" s="47" t="str">
        <f t="shared" si="7"/>
        <v>CARLA NOIR  30*40 VERRE</v>
      </c>
      <c r="AA242" s="39" t="s">
        <v>45</v>
      </c>
      <c r="AB242" s="39" t="s">
        <v>46</v>
      </c>
      <c r="AC242" s="47" t="str">
        <f t="shared" si="8"/>
        <v>CARLA NOIR  30*40 VERRE</v>
      </c>
      <c r="AD242" s="39" t="s">
        <v>47</v>
      </c>
      <c r="AE242" s="39" t="str">
        <f t="shared" si="9"/>
        <v>EVA  30*40 NOIR VERRE PAS DE REHAUSSE - CADRES CLASSIQUES - Pas de passepartout - Dos classique sans chevalet (Largeur 15mm Profondeur 30mm)</v>
      </c>
      <c r="AF242" s="39" t="str">
        <f t="shared" si="1"/>
        <v>EVA  30*40 NOIR VERRE PAS DE REHAUSSE - CADRES CLASSIQUES - Pas de passepartout - Dos classique sans chevalet (Largeur 15mm Profondeur 30mm)</v>
      </c>
      <c r="AG242" s="53">
        <f t="shared" si="10"/>
        <v>12.80031511</v>
      </c>
      <c r="AH242" s="39"/>
      <c r="AI242" s="39"/>
      <c r="AJ242" s="39"/>
      <c r="AK242" s="39"/>
      <c r="AL242" s="39"/>
      <c r="AM242" s="39"/>
      <c r="AN242" s="39"/>
      <c r="AO242" s="39"/>
      <c r="AP242" s="39"/>
    </row>
    <row r="243" ht="15.75" customHeight="1">
      <c r="A243" s="39">
        <v>147.0</v>
      </c>
      <c r="B243" s="40" t="s">
        <v>306</v>
      </c>
      <c r="C243" s="41" t="s">
        <v>90</v>
      </c>
      <c r="D243" s="42" t="s">
        <v>330</v>
      </c>
      <c r="E243" s="43">
        <v>345707.0</v>
      </c>
      <c r="F243" s="44" t="s">
        <v>330</v>
      </c>
      <c r="G243" s="45">
        <v>2.0</v>
      </c>
      <c r="H243" s="54">
        <v>7.644120292628502</v>
      </c>
      <c r="I243" s="47" t="s">
        <v>39</v>
      </c>
      <c r="J243" s="39" t="str">
        <f t="shared" si="2"/>
        <v>072085 - CARLA</v>
      </c>
      <c r="K243" s="47">
        <f t="shared" si="3"/>
        <v>14.21675</v>
      </c>
      <c r="L243" s="48">
        <v>7.79</v>
      </c>
      <c r="M243" s="49">
        <f t="shared" si="4"/>
        <v>14.21675</v>
      </c>
      <c r="N243" s="39" t="s">
        <v>118</v>
      </c>
      <c r="O243" s="39" t="s">
        <v>41</v>
      </c>
      <c r="P243" s="39" t="s">
        <v>269</v>
      </c>
      <c r="Q243" s="47" t="str">
        <f t="shared" si="5"/>
        <v>30*45</v>
      </c>
      <c r="R243" s="50">
        <v>1.0</v>
      </c>
      <c r="S243" s="51">
        <v>0.0</v>
      </c>
      <c r="T243" s="51">
        <v>0.0</v>
      </c>
      <c r="U243" s="51">
        <v>0.0</v>
      </c>
      <c r="V243" s="39" t="s">
        <v>119</v>
      </c>
      <c r="W243" s="47" t="str">
        <f t="shared" si="6"/>
        <v>NOIR - 30*45 - PAS DE REHAUSSE - (Largeur 15mm Profondeur 30mm)</v>
      </c>
      <c r="X243" s="50">
        <v>0.0</v>
      </c>
      <c r="Y243" s="52" t="s">
        <v>44</v>
      </c>
      <c r="Z243" s="47" t="str">
        <f t="shared" si="7"/>
        <v>CARLA NOIR  30*45 VERRE</v>
      </c>
      <c r="AA243" s="39" t="s">
        <v>45</v>
      </c>
      <c r="AB243" s="39" t="s">
        <v>46</v>
      </c>
      <c r="AC243" s="47" t="str">
        <f t="shared" si="8"/>
        <v>CARLA NOIR  30*45 VERRE</v>
      </c>
      <c r="AD243" s="39" t="s">
        <v>47</v>
      </c>
      <c r="AE243" s="39" t="str">
        <f t="shared" si="9"/>
        <v>EVA  30*45 NOIR VERRE PAS DE REHAUSSE - CADRES CLASSIQUES - Pas de passepartout - Dos classique sans chevalet (Largeur 15mm Profondeur 30mm)</v>
      </c>
      <c r="AF243" s="39" t="str">
        <f t="shared" si="1"/>
        <v>EVA  30*45 NOIR VERRE PAS DE REHAUSSE - CADRES CLASSIQUES - Pas de passepartout - Dos classique sans chevalet (Largeur 15mm Profondeur 30mm)</v>
      </c>
      <c r="AG243" s="53">
        <f t="shared" si="10"/>
        <v>13.75941653</v>
      </c>
      <c r="AH243" s="39"/>
      <c r="AI243" s="39"/>
      <c r="AJ243" s="39"/>
      <c r="AK243" s="39"/>
      <c r="AL243" s="39"/>
      <c r="AM243" s="39"/>
      <c r="AN243" s="39"/>
      <c r="AO243" s="39"/>
      <c r="AP243" s="39"/>
    </row>
    <row r="244" ht="15.75" customHeight="1">
      <c r="A244" s="39">
        <v>148.0</v>
      </c>
      <c r="B244" s="40" t="s">
        <v>306</v>
      </c>
      <c r="C244" s="41" t="s">
        <v>92</v>
      </c>
      <c r="D244" s="42" t="s">
        <v>331</v>
      </c>
      <c r="E244" s="43">
        <v>345707.0</v>
      </c>
      <c r="F244" s="44" t="s">
        <v>331</v>
      </c>
      <c r="G244" s="45">
        <v>9.0</v>
      </c>
      <c r="H244" s="54">
        <v>13.547922367428555</v>
      </c>
      <c r="I244" s="47" t="s">
        <v>39</v>
      </c>
      <c r="J244" s="39" t="str">
        <f t="shared" si="2"/>
        <v>072086 - CARLA</v>
      </c>
      <c r="K244" s="47">
        <f t="shared" si="3"/>
        <v>25.20325</v>
      </c>
      <c r="L244" s="48">
        <v>13.81</v>
      </c>
      <c r="M244" s="49">
        <f t="shared" si="4"/>
        <v>25.20325</v>
      </c>
      <c r="N244" s="39" t="s">
        <v>118</v>
      </c>
      <c r="O244" s="39" t="s">
        <v>41</v>
      </c>
      <c r="P244" s="39" t="s">
        <v>269</v>
      </c>
      <c r="Q244" s="47" t="str">
        <f t="shared" si="5"/>
        <v>33*95</v>
      </c>
      <c r="R244" s="50">
        <v>1.0</v>
      </c>
      <c r="S244" s="51">
        <v>0.0</v>
      </c>
      <c r="T244" s="51">
        <v>0.0</v>
      </c>
      <c r="U244" s="51">
        <v>0.0</v>
      </c>
      <c r="V244" s="39" t="s">
        <v>119</v>
      </c>
      <c r="W244" s="47" t="str">
        <f t="shared" si="6"/>
        <v>NOIR - 33*95 - PAS DE REHAUSSE - (Largeur 15mm Profondeur 30mm)</v>
      </c>
      <c r="X244" s="50">
        <v>0.0</v>
      </c>
      <c r="Y244" s="52" t="s">
        <v>44</v>
      </c>
      <c r="Z244" s="47" t="str">
        <f t="shared" si="7"/>
        <v>CARLA NOIR  33*95 VERRE</v>
      </c>
      <c r="AA244" s="39" t="s">
        <v>45</v>
      </c>
      <c r="AB244" s="39" t="s">
        <v>46</v>
      </c>
      <c r="AC244" s="47" t="str">
        <f t="shared" si="8"/>
        <v>CARLA NOIR  33*95 VERRE</v>
      </c>
      <c r="AD244" s="39" t="s">
        <v>47</v>
      </c>
      <c r="AE244" s="39" t="str">
        <f t="shared" si="9"/>
        <v>EVA  33*95 NOIR VERRE PAS DE REHAUSSE - CADRES CLASSIQUES - Pas de passepartout - Dos classique sans chevalet (Largeur 15mm Profondeur 30mm)</v>
      </c>
      <c r="AF244" s="39" t="str">
        <f t="shared" si="1"/>
        <v>EVA  33*95 NOIR VERRE PAS DE REHAUSSE - CADRES CLASSIQUES - Pas de passepartout - Dos classique sans chevalet (Largeur 15mm Profondeur 30mm)</v>
      </c>
      <c r="AG244" s="53">
        <f t="shared" si="10"/>
        <v>24.38626026</v>
      </c>
      <c r="AH244" s="39"/>
      <c r="AI244" s="39"/>
      <c r="AJ244" s="39"/>
      <c r="AK244" s="39"/>
      <c r="AL244" s="39"/>
      <c r="AM244" s="39"/>
      <c r="AN244" s="39"/>
      <c r="AO244" s="39"/>
      <c r="AP244" s="39"/>
    </row>
    <row r="245" ht="15.75" customHeight="1">
      <c r="A245" s="39">
        <v>149.0</v>
      </c>
      <c r="B245" s="40" t="s">
        <v>306</v>
      </c>
      <c r="C245" s="41" t="s">
        <v>94</v>
      </c>
      <c r="D245" s="42" t="s">
        <v>332</v>
      </c>
      <c r="E245" s="43">
        <v>345707.0</v>
      </c>
      <c r="F245" s="44" t="s">
        <v>332</v>
      </c>
      <c r="G245" s="45">
        <v>6.0</v>
      </c>
      <c r="H245" s="54">
        <v>8.308113583462717</v>
      </c>
      <c r="I245" s="47" t="s">
        <v>39</v>
      </c>
      <c r="J245" s="39" t="str">
        <f t="shared" si="2"/>
        <v>072087 - CARLA</v>
      </c>
      <c r="K245" s="47">
        <f t="shared" si="3"/>
        <v>15.45775</v>
      </c>
      <c r="L245" s="48">
        <v>8.47</v>
      </c>
      <c r="M245" s="49">
        <f t="shared" si="4"/>
        <v>15.45775</v>
      </c>
      <c r="N245" s="39" t="s">
        <v>118</v>
      </c>
      <c r="O245" s="39" t="s">
        <v>41</v>
      </c>
      <c r="P245" s="39" t="s">
        <v>269</v>
      </c>
      <c r="Q245" s="47" t="str">
        <f t="shared" si="5"/>
        <v>40*40</v>
      </c>
      <c r="R245" s="50">
        <v>1.0</v>
      </c>
      <c r="S245" s="51">
        <v>0.0</v>
      </c>
      <c r="T245" s="51">
        <v>0.0</v>
      </c>
      <c r="U245" s="51">
        <v>0.0</v>
      </c>
      <c r="V245" s="39" t="s">
        <v>119</v>
      </c>
      <c r="W245" s="47" t="str">
        <f t="shared" si="6"/>
        <v>NOIR - 40*40 - PAS DE REHAUSSE - (Largeur 15mm Profondeur 30mm)</v>
      </c>
      <c r="X245" s="50">
        <v>0.0</v>
      </c>
      <c r="Y245" s="52" t="s">
        <v>44</v>
      </c>
      <c r="Z245" s="47" t="str">
        <f t="shared" si="7"/>
        <v>CARLA NOIR  40*40 VERRE</v>
      </c>
      <c r="AA245" s="39" t="s">
        <v>45</v>
      </c>
      <c r="AB245" s="39" t="s">
        <v>46</v>
      </c>
      <c r="AC245" s="47" t="str">
        <f t="shared" si="8"/>
        <v>CARLA NOIR  40*40 VERRE</v>
      </c>
      <c r="AD245" s="39" t="s">
        <v>47</v>
      </c>
      <c r="AE245" s="39" t="str">
        <f t="shared" si="9"/>
        <v>EVA  40*40 NOIR VERRE PAS DE REHAUSSE - CADRES CLASSIQUES - Pas de passepartout - Dos classique sans chevalet (Largeur 15mm Profondeur 30mm)</v>
      </c>
      <c r="AF245" s="39" t="str">
        <f t="shared" si="1"/>
        <v>EVA  40*40 NOIR VERRE PAS DE REHAUSSE - CADRES CLASSIQUES - Pas de passepartout - Dos classique sans chevalet (Largeur 15mm Profondeur 30mm)</v>
      </c>
      <c r="AG245" s="53">
        <f t="shared" si="10"/>
        <v>14.95460445</v>
      </c>
      <c r="AH245" s="39"/>
      <c r="AI245" s="39"/>
      <c r="AJ245" s="39"/>
      <c r="AK245" s="39"/>
      <c r="AL245" s="39"/>
      <c r="AM245" s="39"/>
      <c r="AN245" s="39"/>
      <c r="AO245" s="39"/>
      <c r="AP245" s="39"/>
    </row>
    <row r="246" ht="15.75" customHeight="1">
      <c r="A246" s="39">
        <v>150.0</v>
      </c>
      <c r="B246" s="40" t="s">
        <v>306</v>
      </c>
      <c r="C246" s="41" t="s">
        <v>96</v>
      </c>
      <c r="D246" s="42" t="s">
        <v>333</v>
      </c>
      <c r="E246" s="43">
        <v>345707.0</v>
      </c>
      <c r="F246" s="44" t="s">
        <v>333</v>
      </c>
      <c r="G246" s="45">
        <v>3.0</v>
      </c>
      <c r="H246" s="54">
        <v>9.504940996571314</v>
      </c>
      <c r="I246" s="47" t="s">
        <v>39</v>
      </c>
      <c r="J246" s="39" t="str">
        <f t="shared" si="2"/>
        <v>072088 - CARLA</v>
      </c>
      <c r="K246" s="47">
        <f t="shared" si="3"/>
        <v>17.68425</v>
      </c>
      <c r="L246" s="48">
        <v>9.69</v>
      </c>
      <c r="M246" s="49">
        <f t="shared" si="4"/>
        <v>17.68425</v>
      </c>
      <c r="N246" s="39" t="s">
        <v>118</v>
      </c>
      <c r="O246" s="39" t="s">
        <v>41</v>
      </c>
      <c r="P246" s="39" t="s">
        <v>269</v>
      </c>
      <c r="Q246" s="47" t="str">
        <f t="shared" si="5"/>
        <v>40*50</v>
      </c>
      <c r="R246" s="50">
        <v>1.0</v>
      </c>
      <c r="S246" s="51">
        <v>0.0</v>
      </c>
      <c r="T246" s="51">
        <v>0.0</v>
      </c>
      <c r="U246" s="51">
        <v>0.0</v>
      </c>
      <c r="V246" s="39" t="s">
        <v>119</v>
      </c>
      <c r="W246" s="47" t="str">
        <f t="shared" si="6"/>
        <v>NOIR - 40*50 - PAS DE REHAUSSE - (Largeur 15mm Profondeur 30mm)</v>
      </c>
      <c r="X246" s="50">
        <v>0.0</v>
      </c>
      <c r="Y246" s="52" t="s">
        <v>44</v>
      </c>
      <c r="Z246" s="47" t="str">
        <f t="shared" si="7"/>
        <v>CARLA NOIR  40*50 VERRE</v>
      </c>
      <c r="AA246" s="39" t="s">
        <v>45</v>
      </c>
      <c r="AB246" s="39" t="s">
        <v>46</v>
      </c>
      <c r="AC246" s="47" t="str">
        <f t="shared" si="8"/>
        <v>CARLA NOIR  40*50 VERRE</v>
      </c>
      <c r="AD246" s="39" t="s">
        <v>47</v>
      </c>
      <c r="AE246" s="39" t="str">
        <f t="shared" si="9"/>
        <v>EVA  40*50 NOIR VERRE PAS DE REHAUSSE - CADRES CLASSIQUES - Pas de passepartout - Dos classique sans chevalet (Largeur 15mm Profondeur 30mm)</v>
      </c>
      <c r="AF246" s="39" t="str">
        <f t="shared" si="1"/>
        <v>EVA  40*50 NOIR VERRE PAS DE REHAUSSE - CADRES CLASSIQUES - Pas de passepartout - Dos classique sans chevalet (Largeur 15mm Profondeur 30mm)</v>
      </c>
      <c r="AG246" s="53">
        <f t="shared" si="10"/>
        <v>17.10889379</v>
      </c>
      <c r="AH246" s="39"/>
      <c r="AI246" s="39"/>
      <c r="AJ246" s="39"/>
      <c r="AK246" s="39"/>
      <c r="AL246" s="39"/>
      <c r="AM246" s="39"/>
      <c r="AN246" s="39"/>
      <c r="AO246" s="39"/>
      <c r="AP246" s="39"/>
    </row>
    <row r="247" ht="15.75" customHeight="1">
      <c r="A247" s="39">
        <v>151.0</v>
      </c>
      <c r="B247" s="40" t="s">
        <v>306</v>
      </c>
      <c r="C247" s="41" t="s">
        <v>98</v>
      </c>
      <c r="D247" s="42" t="s">
        <v>334</v>
      </c>
      <c r="E247" s="43">
        <v>345707.0</v>
      </c>
      <c r="F247" s="44" t="s">
        <v>334</v>
      </c>
      <c r="G247" s="45">
        <v>0.0</v>
      </c>
      <c r="H247" s="54">
        <v>10.701768409679904</v>
      </c>
      <c r="I247" s="47" t="s">
        <v>39</v>
      </c>
      <c r="J247" s="39" t="str">
        <f t="shared" si="2"/>
        <v>072089 - CARLA</v>
      </c>
      <c r="K247" s="47">
        <f t="shared" si="3"/>
        <v>19.91075</v>
      </c>
      <c r="L247" s="48">
        <v>10.91</v>
      </c>
      <c r="M247" s="49">
        <f t="shared" si="4"/>
        <v>19.91075</v>
      </c>
      <c r="N247" s="39" t="s">
        <v>118</v>
      </c>
      <c r="O247" s="39" t="s">
        <v>41</v>
      </c>
      <c r="P247" s="39" t="s">
        <v>269</v>
      </c>
      <c r="Q247" s="47" t="str">
        <f t="shared" si="5"/>
        <v>40*60</v>
      </c>
      <c r="R247" s="50">
        <v>1.0</v>
      </c>
      <c r="S247" s="51">
        <v>0.0</v>
      </c>
      <c r="T247" s="51">
        <v>0.0</v>
      </c>
      <c r="U247" s="51">
        <v>0.0</v>
      </c>
      <c r="V247" s="39" t="s">
        <v>119</v>
      </c>
      <c r="W247" s="47" t="str">
        <f t="shared" si="6"/>
        <v>NOIR - 40*60 - PAS DE REHAUSSE - (Largeur 15mm Profondeur 30mm)</v>
      </c>
      <c r="X247" s="50">
        <v>0.0</v>
      </c>
      <c r="Y247" s="52" t="s">
        <v>44</v>
      </c>
      <c r="Z247" s="47" t="str">
        <f t="shared" si="7"/>
        <v>CARLA NOIR  40*60 VERRE</v>
      </c>
      <c r="AA247" s="39" t="s">
        <v>45</v>
      </c>
      <c r="AB247" s="39" t="s">
        <v>46</v>
      </c>
      <c r="AC247" s="47" t="str">
        <f t="shared" si="8"/>
        <v>CARLA NOIR  40*60 VERRE</v>
      </c>
      <c r="AD247" s="39" t="s">
        <v>47</v>
      </c>
      <c r="AE247" s="39" t="str">
        <f t="shared" si="9"/>
        <v>EVA  40*60 NOIR VERRE PAS DE REHAUSSE - CADRES CLASSIQUES - Pas de passepartout - Dos classique sans chevalet (Largeur 15mm Profondeur 30mm)</v>
      </c>
      <c r="AF247" s="39" t="str">
        <f t="shared" si="1"/>
        <v>EVA  40*60 NOIR VERRE PAS DE REHAUSSE - CADRES CLASSIQUES - Pas de passepartout - Dos classique sans chevalet (Largeur 15mm Profondeur 30mm)</v>
      </c>
      <c r="AG247" s="53">
        <f t="shared" si="10"/>
        <v>19.26318314</v>
      </c>
      <c r="AH247" s="39"/>
      <c r="AI247" s="39"/>
      <c r="AJ247" s="39"/>
      <c r="AK247" s="39"/>
      <c r="AL247" s="39"/>
      <c r="AM247" s="39"/>
      <c r="AN247" s="39"/>
      <c r="AO247" s="39"/>
      <c r="AP247" s="39"/>
    </row>
    <row r="248" ht="15.75" customHeight="1">
      <c r="A248" s="39">
        <v>152.0</v>
      </c>
      <c r="B248" s="40" t="s">
        <v>306</v>
      </c>
      <c r="C248" s="41" t="s">
        <v>102</v>
      </c>
      <c r="D248" s="42" t="s">
        <v>335</v>
      </c>
      <c r="E248" s="43">
        <v>345707.0</v>
      </c>
      <c r="F248" s="44" t="s">
        <v>335</v>
      </c>
      <c r="G248" s="45">
        <v>6.0</v>
      </c>
      <c r="H248" s="54">
        <v>11.704808151241322</v>
      </c>
      <c r="I248" s="47" t="s">
        <v>39</v>
      </c>
      <c r="J248" s="39" t="str">
        <f t="shared" si="2"/>
        <v>072090 - CARLA</v>
      </c>
      <c r="K248" s="47">
        <f t="shared" si="3"/>
        <v>21.77225</v>
      </c>
      <c r="L248" s="48">
        <v>11.93</v>
      </c>
      <c r="M248" s="49">
        <f t="shared" si="4"/>
        <v>21.77225</v>
      </c>
      <c r="N248" s="39" t="s">
        <v>118</v>
      </c>
      <c r="O248" s="39" t="s">
        <v>41</v>
      </c>
      <c r="P248" s="39" t="s">
        <v>269</v>
      </c>
      <c r="Q248" s="47" t="str">
        <f t="shared" si="5"/>
        <v>46*61</v>
      </c>
      <c r="R248" s="50">
        <v>1.0</v>
      </c>
      <c r="S248" s="51">
        <v>0.0</v>
      </c>
      <c r="T248" s="51">
        <v>0.0</v>
      </c>
      <c r="U248" s="51">
        <v>0.0</v>
      </c>
      <c r="V248" s="39" t="s">
        <v>119</v>
      </c>
      <c r="W248" s="47" t="str">
        <f t="shared" si="6"/>
        <v>NOIR - 46*61 - PAS DE REHAUSSE - (Largeur 15mm Profondeur 30mm)</v>
      </c>
      <c r="X248" s="50">
        <v>0.0</v>
      </c>
      <c r="Y248" s="52" t="s">
        <v>44</v>
      </c>
      <c r="Z248" s="47" t="str">
        <f t="shared" si="7"/>
        <v>CARLA NOIR  46*61 VERRE</v>
      </c>
      <c r="AA248" s="39" t="s">
        <v>45</v>
      </c>
      <c r="AB248" s="39" t="s">
        <v>46</v>
      </c>
      <c r="AC248" s="47" t="str">
        <f t="shared" si="8"/>
        <v>CARLA NOIR  46*61 VERRE</v>
      </c>
      <c r="AD248" s="39" t="s">
        <v>47</v>
      </c>
      <c r="AE248" s="39" t="str">
        <f t="shared" si="9"/>
        <v>EVA  46*61 NOIR VERRE PAS DE REHAUSSE - CADRES CLASSIQUES - Pas de passepartout - Dos classique sans chevalet (Largeur 15mm Profondeur 30mm)</v>
      </c>
      <c r="AF248" s="39" t="str">
        <f t="shared" si="1"/>
        <v>EVA  46*61 NOIR VERRE PAS DE REHAUSSE - CADRES CLASSIQUES - Pas de passepartout - Dos classique sans chevalet (Largeur 15mm Profondeur 30mm)</v>
      </c>
      <c r="AG248" s="53">
        <f t="shared" si="10"/>
        <v>21.06865467</v>
      </c>
      <c r="AH248" s="39"/>
      <c r="AI248" s="39"/>
      <c r="AJ248" s="39"/>
      <c r="AK248" s="39"/>
      <c r="AL248" s="39"/>
      <c r="AM248" s="39"/>
      <c r="AN248" s="39"/>
      <c r="AO248" s="39"/>
      <c r="AP248" s="39"/>
    </row>
    <row r="249" ht="15.75" customHeight="1">
      <c r="A249" s="39">
        <v>153.0</v>
      </c>
      <c r="B249" s="40" t="s">
        <v>306</v>
      </c>
      <c r="C249" s="41" t="s">
        <v>104</v>
      </c>
      <c r="D249" s="42" t="s">
        <v>336</v>
      </c>
      <c r="E249" s="43">
        <v>345707.0</v>
      </c>
      <c r="F249" s="44" t="s">
        <v>336</v>
      </c>
      <c r="G249" s="45">
        <v>3.0</v>
      </c>
      <c r="H249" s="54">
        <v>10.832927578239746</v>
      </c>
      <c r="I249" s="47" t="s">
        <v>39</v>
      </c>
      <c r="J249" s="39" t="str">
        <f t="shared" si="2"/>
        <v>072091 - CARLA</v>
      </c>
      <c r="K249" s="47">
        <f t="shared" si="3"/>
        <v>20.148</v>
      </c>
      <c r="L249" s="48">
        <v>11.04</v>
      </c>
      <c r="M249" s="49">
        <f t="shared" si="4"/>
        <v>20.148</v>
      </c>
      <c r="N249" s="39" t="s">
        <v>118</v>
      </c>
      <c r="O249" s="39" t="s">
        <v>41</v>
      </c>
      <c r="P249" s="39" t="s">
        <v>269</v>
      </c>
      <c r="Q249" s="47" t="str">
        <f t="shared" si="5"/>
        <v>50*50</v>
      </c>
      <c r="R249" s="50">
        <v>1.0</v>
      </c>
      <c r="S249" s="51">
        <v>0.0</v>
      </c>
      <c r="T249" s="51">
        <v>0.0</v>
      </c>
      <c r="U249" s="51">
        <v>0.0</v>
      </c>
      <c r="V249" s="39" t="s">
        <v>119</v>
      </c>
      <c r="W249" s="47" t="str">
        <f t="shared" si="6"/>
        <v>NOIR - 50*50 - PAS DE REHAUSSE - (Largeur 15mm Profondeur 30mm)</v>
      </c>
      <c r="X249" s="50">
        <v>0.0</v>
      </c>
      <c r="Y249" s="52" t="s">
        <v>44</v>
      </c>
      <c r="Z249" s="47" t="str">
        <f t="shared" si="7"/>
        <v>CARLA NOIR  50*50 VERRE</v>
      </c>
      <c r="AA249" s="39" t="s">
        <v>45</v>
      </c>
      <c r="AB249" s="39" t="s">
        <v>46</v>
      </c>
      <c r="AC249" s="47" t="str">
        <f t="shared" si="8"/>
        <v>CARLA NOIR  50*50 VERRE</v>
      </c>
      <c r="AD249" s="39" t="s">
        <v>47</v>
      </c>
      <c r="AE249" s="39" t="str">
        <f t="shared" si="9"/>
        <v>EVA  50*50 NOIR VERRE PAS DE REHAUSSE - CADRES CLASSIQUES - Pas de passepartout - Dos classique sans chevalet (Largeur 15mm Profondeur 30mm)</v>
      </c>
      <c r="AF249" s="39" t="str">
        <f t="shared" si="1"/>
        <v>EVA  50*50 NOIR VERRE PAS DE REHAUSSE - CADRES CLASSIQUES - Pas de passepartout - Dos classique sans chevalet (Largeur 15mm Profondeur 30mm)</v>
      </c>
      <c r="AG249" s="53">
        <f t="shared" si="10"/>
        <v>19.49926964</v>
      </c>
      <c r="AH249" s="39"/>
      <c r="AI249" s="39"/>
      <c r="AJ249" s="39"/>
      <c r="AK249" s="39"/>
      <c r="AL249" s="39"/>
      <c r="AM249" s="39"/>
      <c r="AN249" s="39"/>
      <c r="AO249" s="39"/>
      <c r="AP249" s="39"/>
    </row>
    <row r="250" ht="15.75" customHeight="1">
      <c r="A250" s="39">
        <v>154.0</v>
      </c>
      <c r="B250" s="40" t="s">
        <v>306</v>
      </c>
      <c r="C250" s="41" t="s">
        <v>106</v>
      </c>
      <c r="D250" s="42" t="s">
        <v>337</v>
      </c>
      <c r="E250" s="43">
        <v>345707.0</v>
      </c>
      <c r="F250" s="44" t="s">
        <v>337</v>
      </c>
      <c r="G250" s="45">
        <v>0.0</v>
      </c>
      <c r="H250" s="54">
        <v>12.160914159908184</v>
      </c>
      <c r="I250" s="47" t="s">
        <v>39</v>
      </c>
      <c r="J250" s="39" t="str">
        <f t="shared" si="2"/>
        <v>072092 - CARLA</v>
      </c>
      <c r="K250" s="47">
        <f t="shared" si="3"/>
        <v>22.61175</v>
      </c>
      <c r="L250" s="48">
        <v>12.39</v>
      </c>
      <c r="M250" s="49">
        <f t="shared" si="4"/>
        <v>22.61175</v>
      </c>
      <c r="N250" s="39" t="s">
        <v>118</v>
      </c>
      <c r="O250" s="39" t="s">
        <v>41</v>
      </c>
      <c r="P250" s="39" t="s">
        <v>269</v>
      </c>
      <c r="Q250" s="47" t="str">
        <f t="shared" si="5"/>
        <v>50*60</v>
      </c>
      <c r="R250" s="50">
        <v>1.0</v>
      </c>
      <c r="S250" s="51">
        <v>0.0</v>
      </c>
      <c r="T250" s="51">
        <v>0.0</v>
      </c>
      <c r="U250" s="51">
        <v>0.0</v>
      </c>
      <c r="V250" s="39" t="s">
        <v>119</v>
      </c>
      <c r="W250" s="47" t="str">
        <f t="shared" si="6"/>
        <v>NOIR - 50*60 - PAS DE REHAUSSE - (Largeur 15mm Profondeur 30mm)</v>
      </c>
      <c r="X250" s="50">
        <v>0.0</v>
      </c>
      <c r="Y250" s="52" t="s">
        <v>44</v>
      </c>
      <c r="Z250" s="47" t="str">
        <f t="shared" si="7"/>
        <v>CARLA NOIR  50*60 VERRE</v>
      </c>
      <c r="AA250" s="39" t="s">
        <v>45</v>
      </c>
      <c r="AB250" s="39" t="s">
        <v>46</v>
      </c>
      <c r="AC250" s="47" t="str">
        <f t="shared" si="8"/>
        <v>CARLA NOIR  50*60 VERRE</v>
      </c>
      <c r="AD250" s="39" t="s">
        <v>47</v>
      </c>
      <c r="AE250" s="39" t="str">
        <f t="shared" si="9"/>
        <v>EVA  50*60 NOIR VERRE PAS DE REHAUSSE - CADRES CLASSIQUES - Pas de passepartout - Dos classique sans chevalet (Largeur 15mm Profondeur 30mm)</v>
      </c>
      <c r="AF250" s="39" t="str">
        <f t="shared" si="1"/>
        <v>EVA  50*60 NOIR VERRE PAS DE REHAUSSE - CADRES CLASSIQUES - Pas de passepartout - Dos classique sans chevalet (Largeur 15mm Profondeur 30mm)</v>
      </c>
      <c r="AG250" s="53">
        <f t="shared" si="10"/>
        <v>21.88964549</v>
      </c>
      <c r="AH250" s="39"/>
      <c r="AI250" s="39"/>
      <c r="AJ250" s="39"/>
      <c r="AK250" s="39"/>
      <c r="AL250" s="39"/>
      <c r="AM250" s="39"/>
      <c r="AN250" s="39"/>
      <c r="AO250" s="39"/>
      <c r="AP250" s="39"/>
    </row>
    <row r="251" ht="15.75" customHeight="1">
      <c r="A251" s="39">
        <v>155.0</v>
      </c>
      <c r="B251" s="40" t="s">
        <v>306</v>
      </c>
      <c r="C251" s="41" t="s">
        <v>108</v>
      </c>
      <c r="D251" s="42" t="s">
        <v>338</v>
      </c>
      <c r="E251" s="43">
        <v>345707.0</v>
      </c>
      <c r="F251" s="44" t="s">
        <v>338</v>
      </c>
      <c r="G251" s="45">
        <v>7.0</v>
      </c>
      <c r="H251" s="54">
        <v>12.824907450742401</v>
      </c>
      <c r="I251" s="47" t="s">
        <v>39</v>
      </c>
      <c r="J251" s="39" t="str">
        <f t="shared" si="2"/>
        <v>072093 - CARLA</v>
      </c>
      <c r="K251" s="47">
        <f t="shared" si="3"/>
        <v>23.85275</v>
      </c>
      <c r="L251" s="48">
        <v>13.07</v>
      </c>
      <c r="M251" s="49">
        <f t="shared" si="4"/>
        <v>23.85275</v>
      </c>
      <c r="N251" s="39" t="s">
        <v>118</v>
      </c>
      <c r="O251" s="39" t="s">
        <v>41</v>
      </c>
      <c r="P251" s="39" t="s">
        <v>269</v>
      </c>
      <c r="Q251" s="47" t="str">
        <f t="shared" si="5"/>
        <v>50*65</v>
      </c>
      <c r="R251" s="50">
        <v>1.0</v>
      </c>
      <c r="S251" s="51">
        <v>0.0</v>
      </c>
      <c r="T251" s="51">
        <v>0.0</v>
      </c>
      <c r="U251" s="51">
        <v>0.0</v>
      </c>
      <c r="V251" s="39" t="s">
        <v>119</v>
      </c>
      <c r="W251" s="47" t="str">
        <f t="shared" si="6"/>
        <v>NOIR - 50*65 - PAS DE REHAUSSE - (Largeur 15mm Profondeur 30mm)</v>
      </c>
      <c r="X251" s="50">
        <v>0.0</v>
      </c>
      <c r="Y251" s="52" t="s">
        <v>44</v>
      </c>
      <c r="Z251" s="47" t="str">
        <f t="shared" si="7"/>
        <v>CARLA NOIR  50*65 VERRE</v>
      </c>
      <c r="AA251" s="39" t="s">
        <v>45</v>
      </c>
      <c r="AB251" s="39" t="s">
        <v>46</v>
      </c>
      <c r="AC251" s="47" t="str">
        <f t="shared" si="8"/>
        <v>CARLA NOIR  50*65 VERRE</v>
      </c>
      <c r="AD251" s="39" t="s">
        <v>47</v>
      </c>
      <c r="AE251" s="39" t="str">
        <f t="shared" si="9"/>
        <v>EVA  50*65 NOIR VERRE PAS DE REHAUSSE - CADRES CLASSIQUES - Pas de passepartout - Dos classique sans chevalet (Largeur 15mm Profondeur 30mm)</v>
      </c>
      <c r="AF251" s="39" t="str">
        <f t="shared" si="1"/>
        <v>EVA  50*65 NOIR VERRE PAS DE REHAUSSE - CADRES CLASSIQUES - Pas de passepartout - Dos classique sans chevalet (Largeur 15mm Profondeur 30mm)</v>
      </c>
      <c r="AG251" s="53">
        <f t="shared" si="10"/>
        <v>23.08483341</v>
      </c>
      <c r="AH251" s="39"/>
      <c r="AI251" s="39"/>
      <c r="AJ251" s="39"/>
      <c r="AK251" s="39"/>
      <c r="AL251" s="39"/>
      <c r="AM251" s="39"/>
      <c r="AN251" s="39"/>
      <c r="AO251" s="39"/>
      <c r="AP251" s="39"/>
    </row>
    <row r="252" ht="15.75" customHeight="1">
      <c r="A252" s="39">
        <v>156.0</v>
      </c>
      <c r="B252" s="40" t="s">
        <v>306</v>
      </c>
      <c r="C252" s="41" t="s">
        <v>110</v>
      </c>
      <c r="D252" s="42" t="s">
        <v>339</v>
      </c>
      <c r="E252" s="43">
        <v>345707.0</v>
      </c>
      <c r="F252" s="44" t="s">
        <v>339</v>
      </c>
      <c r="G252" s="45">
        <v>4.0</v>
      </c>
      <c r="H252" s="54">
        <v>13.488900741576625</v>
      </c>
      <c r="I252" s="47" t="s">
        <v>39</v>
      </c>
      <c r="J252" s="39" t="str">
        <f t="shared" si="2"/>
        <v>072094 - CARLA</v>
      </c>
      <c r="K252" s="47">
        <f t="shared" si="3"/>
        <v>25.09375</v>
      </c>
      <c r="L252" s="48">
        <v>13.75</v>
      </c>
      <c r="M252" s="49">
        <f t="shared" si="4"/>
        <v>25.09375</v>
      </c>
      <c r="N252" s="39" t="s">
        <v>118</v>
      </c>
      <c r="O252" s="39" t="s">
        <v>41</v>
      </c>
      <c r="P252" s="39" t="s">
        <v>269</v>
      </c>
      <c r="Q252" s="47" t="str">
        <f t="shared" si="5"/>
        <v>50*70</v>
      </c>
      <c r="R252" s="50">
        <v>1.0</v>
      </c>
      <c r="S252" s="51">
        <v>0.0</v>
      </c>
      <c r="T252" s="51">
        <v>0.0</v>
      </c>
      <c r="U252" s="51">
        <v>0.0</v>
      </c>
      <c r="V252" s="39" t="s">
        <v>119</v>
      </c>
      <c r="W252" s="47" t="str">
        <f t="shared" si="6"/>
        <v>NOIR - 50*70 - PAS DE REHAUSSE - (Largeur 15mm Profondeur 30mm)</v>
      </c>
      <c r="X252" s="50">
        <v>0.0</v>
      </c>
      <c r="Y252" s="52" t="s">
        <v>44</v>
      </c>
      <c r="Z252" s="47" t="str">
        <f t="shared" si="7"/>
        <v>CARLA NOIR  50*70 VERRE</v>
      </c>
      <c r="AA252" s="39" t="s">
        <v>45</v>
      </c>
      <c r="AB252" s="39" t="s">
        <v>46</v>
      </c>
      <c r="AC252" s="47" t="str">
        <f t="shared" si="8"/>
        <v>CARLA NOIR  50*70 VERRE</v>
      </c>
      <c r="AD252" s="39" t="s">
        <v>47</v>
      </c>
      <c r="AE252" s="39" t="str">
        <f t="shared" si="9"/>
        <v>EVA  50*70 NOIR VERRE PAS DE REHAUSSE - CADRES CLASSIQUES - Pas de passepartout - Dos classique sans chevalet (Largeur 15mm Profondeur 30mm)</v>
      </c>
      <c r="AF252" s="39" t="str">
        <f t="shared" si="1"/>
        <v>EVA  50*70 NOIR VERRE PAS DE REHAUSSE - CADRES CLASSIQUES - Pas de passepartout - Dos classique sans chevalet (Largeur 15mm Profondeur 30mm)</v>
      </c>
      <c r="AG252" s="53">
        <f t="shared" si="10"/>
        <v>24.28002133</v>
      </c>
      <c r="AH252" s="39"/>
      <c r="AI252" s="39"/>
      <c r="AJ252" s="39"/>
      <c r="AK252" s="39"/>
      <c r="AL252" s="39"/>
      <c r="AM252" s="39"/>
      <c r="AN252" s="39"/>
      <c r="AO252" s="39"/>
      <c r="AP252" s="39"/>
    </row>
    <row r="253" ht="15.75" customHeight="1">
      <c r="A253" s="39">
        <v>157.0</v>
      </c>
      <c r="B253" s="40" t="s">
        <v>306</v>
      </c>
      <c r="C253" s="41" t="s">
        <v>114</v>
      </c>
      <c r="D253" s="42" t="s">
        <v>340</v>
      </c>
      <c r="E253" s="43">
        <v>345707.0</v>
      </c>
      <c r="F253" s="44" t="s">
        <v>340</v>
      </c>
      <c r="G253" s="45">
        <v>1.0</v>
      </c>
      <c r="H253" s="54">
        <v>16.538351410593037</v>
      </c>
      <c r="I253" s="47" t="s">
        <v>39</v>
      </c>
      <c r="J253" s="39" t="str">
        <f t="shared" si="2"/>
        <v>072095 - CARLA</v>
      </c>
      <c r="K253" s="47">
        <f t="shared" si="3"/>
        <v>30.75125</v>
      </c>
      <c r="L253" s="48">
        <v>16.85</v>
      </c>
      <c r="M253" s="49">
        <f t="shared" si="4"/>
        <v>30.75125</v>
      </c>
      <c r="N253" s="39" t="s">
        <v>118</v>
      </c>
      <c r="O253" s="39" t="s">
        <v>41</v>
      </c>
      <c r="P253" s="39" t="s">
        <v>269</v>
      </c>
      <c r="Q253" s="47" t="str">
        <f t="shared" si="5"/>
        <v>60*80</v>
      </c>
      <c r="R253" s="50">
        <v>1.0</v>
      </c>
      <c r="S253" s="51">
        <v>0.0</v>
      </c>
      <c r="T253" s="51">
        <v>0.0</v>
      </c>
      <c r="U253" s="51">
        <v>0.0</v>
      </c>
      <c r="V253" s="39" t="s">
        <v>119</v>
      </c>
      <c r="W253" s="47" t="str">
        <f t="shared" si="6"/>
        <v>NOIR - 60*80 - PAS DE REHAUSSE - (Largeur 15mm Profondeur 30mm)</v>
      </c>
      <c r="X253" s="50">
        <v>0.0</v>
      </c>
      <c r="Y253" s="52" t="s">
        <v>44</v>
      </c>
      <c r="Z253" s="47" t="str">
        <f t="shared" si="7"/>
        <v>CARLA NOIR  60*80 VERRE</v>
      </c>
      <c r="AA253" s="39" t="s">
        <v>45</v>
      </c>
      <c r="AB253" s="39" t="s">
        <v>46</v>
      </c>
      <c r="AC253" s="47" t="str">
        <f t="shared" si="8"/>
        <v>CARLA NOIR  60*80 VERRE</v>
      </c>
      <c r="AD253" s="39" t="s">
        <v>47</v>
      </c>
      <c r="AE253" s="39" t="str">
        <f t="shared" si="9"/>
        <v>EVA  60*80 NOIR VERRE PAS DE REHAUSSE - CADRES CLASSIQUES - Pas de passepartout - Dos classique sans chevalet (Largeur 15mm Profondeur 30mm)</v>
      </c>
      <c r="AF253" s="39" t="str">
        <f t="shared" si="1"/>
        <v>EVA  60*80 NOIR VERRE PAS DE REHAUSSE - CADRES CLASSIQUES - Pas de passepartout - Dos classique sans chevalet (Largeur 15mm Profondeur 30mm)</v>
      </c>
      <c r="AG253" s="53">
        <f t="shared" si="10"/>
        <v>29.76903254</v>
      </c>
      <c r="AH253" s="39"/>
      <c r="AI253" s="39"/>
      <c r="AJ253" s="39"/>
      <c r="AK253" s="39"/>
      <c r="AL253" s="39"/>
      <c r="AM253" s="39"/>
      <c r="AN253" s="39"/>
      <c r="AO253" s="39"/>
      <c r="AP253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5"/>
    </row>
    <row r="2">
      <c r="B2" s="56" t="s">
        <v>341</v>
      </c>
      <c r="C2" s="56" t="s">
        <v>342</v>
      </c>
      <c r="D2" s="57" t="s">
        <v>343</v>
      </c>
      <c r="E2" s="58" t="s">
        <v>344</v>
      </c>
      <c r="F2" s="58" t="s">
        <v>345</v>
      </c>
      <c r="G2" s="58" t="s">
        <v>346</v>
      </c>
    </row>
    <row r="3">
      <c r="B3" s="59" t="s">
        <v>347</v>
      </c>
      <c r="C3" s="59" t="s">
        <v>348</v>
      </c>
      <c r="D3" s="59" t="s">
        <v>349</v>
      </c>
      <c r="E3" s="59" t="s">
        <v>350</v>
      </c>
      <c r="F3" s="59" t="s">
        <v>351</v>
      </c>
    </row>
    <row r="4">
      <c r="A4" s="60"/>
      <c r="B4" s="61"/>
    </row>
    <row r="5">
      <c r="A5" s="55"/>
    </row>
    <row r="6">
      <c r="A6" s="55"/>
    </row>
    <row r="7">
      <c r="A7" s="55"/>
    </row>
    <row r="8">
      <c r="A8" s="55"/>
    </row>
    <row r="9">
      <c r="A9" s="55"/>
    </row>
    <row r="10">
      <c r="A10" s="55"/>
    </row>
    <row r="11">
      <c r="A11" s="55"/>
    </row>
    <row r="12">
      <c r="A12" s="55"/>
    </row>
    <row r="13">
      <c r="A13" s="55"/>
    </row>
    <row r="14">
      <c r="A14" s="55"/>
    </row>
    <row r="15">
      <c r="A15" s="55"/>
    </row>
    <row r="16">
      <c r="A16" s="55"/>
    </row>
    <row r="17">
      <c r="A17" s="55"/>
    </row>
    <row r="18">
      <c r="A18" s="55"/>
    </row>
    <row r="19">
      <c r="A19" s="55"/>
    </row>
    <row r="20">
      <c r="A20" s="55"/>
    </row>
    <row r="21">
      <c r="A21" s="55"/>
    </row>
    <row r="22">
      <c r="A22" s="55"/>
    </row>
    <row r="23">
      <c r="A23" s="55"/>
    </row>
    <row r="24">
      <c r="A24" s="55"/>
    </row>
    <row r="25">
      <c r="A25" s="55"/>
    </row>
    <row r="26">
      <c r="A26" s="55"/>
    </row>
    <row r="27">
      <c r="A27" s="55"/>
    </row>
    <row r="28">
      <c r="A28" s="55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